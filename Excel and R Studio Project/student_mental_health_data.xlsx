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e683758baf3ab6/"/>
    </mc:Choice>
  </mc:AlternateContent>
  <xr:revisionPtr revIDLastSave="0" documentId="8_{BB5EE3AD-8FBD-A64E-B484-5CB3F60124E2}" xr6:coauthVersionLast="47" xr6:coauthVersionMax="47" xr10:uidLastSave="{00000000-0000-0000-0000-000000000000}"/>
  <bookViews>
    <workbookView xWindow="-110" yWindow="-110" windowWidth="19420" windowHeight="10560" xr2:uid="{4F506B7C-E07E-4D70-9DF1-D14E3747B764}"/>
  </bookViews>
  <sheets>
    <sheet name="Student Mental health" sheetId="1" r:id="rId1"/>
  </sheets>
  <externalReferences>
    <externalReference r:id="rId2"/>
  </externalReferences>
  <definedNames>
    <definedName name="_xlchart.v1.0" hidden="1">'[1]Student Mental health'!$AB$3:$AB$68</definedName>
    <definedName name="_xlchart.v1.1" hidden="1">'[1]Student Mental health'!$AC$3:$AC$68</definedName>
    <definedName name="_xlchart.v1.2" hidden="1">'[1]Student Mental health'!$AN$3:$AN$36</definedName>
    <definedName name="_xlchart.v1.3" hidden="1">'[1]Student Mental health'!$AO$3:$AO$36</definedName>
    <definedName name="_xlchart.v1.4" hidden="1">'[1]Student Mental health'!$X$3:$X$87</definedName>
    <definedName name="_xlchart.v1.5" hidden="1">'[1]Student Mental health'!$Y$3:$Y$87</definedName>
    <definedName name="_xlchart.v1.6" hidden="1">'[1]Student Mental health'!$N$7</definedName>
    <definedName name="_xlchart.v1.7" hidden="1">'[1]Student Mental health'!$N$8:$N$82</definedName>
    <definedName name="_xlchart.v1.8" hidden="1">'[1]Student Mental health'!$O$7</definedName>
    <definedName name="_xlchart.v1.9" hidden="1">'[1]Student Mental health'!$O$8:$O$82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1" l="1"/>
  <c r="I106" i="1"/>
</calcChain>
</file>

<file path=xl/sharedStrings.xml><?xml version="1.0" encoding="utf-8"?>
<sst xmlns="http://schemas.openxmlformats.org/spreadsheetml/2006/main" count="875" uniqueCount="111">
  <si>
    <t>Timestamp</t>
  </si>
  <si>
    <t>Choose your gender</t>
  </si>
  <si>
    <t>Age</t>
  </si>
  <si>
    <t>What is your course?</t>
  </si>
  <si>
    <t>Your current year of Study</t>
  </si>
  <si>
    <t>What is your CGPA?</t>
  </si>
  <si>
    <t>Marital status</t>
  </si>
  <si>
    <t>Do you have Depression?</t>
  </si>
  <si>
    <t>Do you have Anxiety?</t>
  </si>
  <si>
    <t>Do you have Panic attack?</t>
  </si>
  <si>
    <t>Did you seek any specialist for a treatment?</t>
  </si>
  <si>
    <t>Female</t>
  </si>
  <si>
    <t>Engineering</t>
  </si>
  <si>
    <t>year 1</t>
  </si>
  <si>
    <t>No</t>
  </si>
  <si>
    <t>Yes</t>
  </si>
  <si>
    <t>Male</t>
  </si>
  <si>
    <t>Islamic education</t>
  </si>
  <si>
    <t>year 2</t>
  </si>
  <si>
    <t>BIT</t>
  </si>
  <si>
    <t>Year 1</t>
  </si>
  <si>
    <t>Laws</t>
  </si>
  <si>
    <t>year 3</t>
  </si>
  <si>
    <t>Mathemathics</t>
  </si>
  <si>
    <t>year 4</t>
  </si>
  <si>
    <t>Year 2</t>
  </si>
  <si>
    <t>Pendidikan islam</t>
  </si>
  <si>
    <t>BCS</t>
  </si>
  <si>
    <t>Human Resources</t>
  </si>
  <si>
    <t>Irkhs</t>
  </si>
  <si>
    <t>Psychology</t>
  </si>
  <si>
    <t>Year 3</t>
  </si>
  <si>
    <t>KENMS</t>
  </si>
  <si>
    <t xml:space="preserve">Accounting </t>
  </si>
  <si>
    <t>ENM</t>
  </si>
  <si>
    <t>Marine science</t>
  </si>
  <si>
    <t>KOE</t>
  </si>
  <si>
    <t>Banking Studies</t>
  </si>
  <si>
    <t>Business Administration</t>
  </si>
  <si>
    <t>Law</t>
  </si>
  <si>
    <t>KIRKHS</t>
  </si>
  <si>
    <t xml:space="preserve">Usuluddin </t>
  </si>
  <si>
    <t>TAASL</t>
  </si>
  <si>
    <t>Engine</t>
  </si>
  <si>
    <t>ALA</t>
  </si>
  <si>
    <t>Biomedical science</t>
  </si>
  <si>
    <t>koe</t>
  </si>
  <si>
    <t>Kirkhs</t>
  </si>
  <si>
    <t>BENL</t>
  </si>
  <si>
    <t>Benl</t>
  </si>
  <si>
    <t>IT</t>
  </si>
  <si>
    <t>CTS</t>
  </si>
  <si>
    <t>engin</t>
  </si>
  <si>
    <t>Econs</t>
  </si>
  <si>
    <t>MHSC</t>
  </si>
  <si>
    <t>Malcom</t>
  </si>
  <si>
    <t>Kop</t>
  </si>
  <si>
    <t xml:space="preserve">Human Sciences </t>
  </si>
  <si>
    <t>13/07/2020 10:07:32</t>
  </si>
  <si>
    <t>Biotechnology</t>
  </si>
  <si>
    <t>13/07/2020 10:10:30</t>
  </si>
  <si>
    <t>13/07/2020 10:11:26</t>
  </si>
  <si>
    <t xml:space="preserve">Communication </t>
  </si>
  <si>
    <t>13/07/2020 10:12:18</t>
  </si>
  <si>
    <t>Diploma Nursing</t>
  </si>
  <si>
    <t>13/07/2020 10:12:26</t>
  </si>
  <si>
    <t>13/07/2020 10:12:28</t>
  </si>
  <si>
    <t xml:space="preserve">Pendidikan Islam </t>
  </si>
  <si>
    <t>13/07/2020 10:14:46</t>
  </si>
  <si>
    <t>Radiography</t>
  </si>
  <si>
    <t>13/07/2020 10:33:47</t>
  </si>
  <si>
    <t>psychology</t>
  </si>
  <si>
    <t>13/07/2020 10:34:08</t>
  </si>
  <si>
    <t xml:space="preserve">Fiqh fatwa </t>
  </si>
  <si>
    <t>13/07/2020 11:46:13</t>
  </si>
  <si>
    <t>13/07/2020 11:49:02</t>
  </si>
  <si>
    <t>13/07/2020 11:54:58</t>
  </si>
  <si>
    <t>13/07/2020 13:57:11</t>
  </si>
  <si>
    <t>DIPLOMA TESL</t>
  </si>
  <si>
    <t>13/07/2020 14:38:12</t>
  </si>
  <si>
    <t>Koe</t>
  </si>
  <si>
    <t>13/07/2020 14:48:05</t>
  </si>
  <si>
    <t>13/07/2020 16:15:13</t>
  </si>
  <si>
    <t>13/07/2020 17:30:44</t>
  </si>
  <si>
    <t>Fiqh</t>
  </si>
  <si>
    <t>13/07/2020 19:08:32</t>
  </si>
  <si>
    <t>Islamic Education</t>
  </si>
  <si>
    <t>13/07/2020 19:56:49</t>
  </si>
  <si>
    <t>13/07/2020 21:21:42</t>
  </si>
  <si>
    <t>13/07/2020 21:22:56</t>
  </si>
  <si>
    <t xml:space="preserve">Nursing </t>
  </si>
  <si>
    <t>13/07/2020 21:23:57</t>
  </si>
  <si>
    <t>Pendidikan Islam</t>
  </si>
  <si>
    <t>18/07/2020 20:16:21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</si>
  <si>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</si>
  <si>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</si>
  <si>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</si>
  <si>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</si>
  <si>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</si>
  <si>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</si>
  <si>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</si>
  <si>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</si>
  <si>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</si>
  <si>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</si>
  <si>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</si>
  <si>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</si>
  <si>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</si>
  <si>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BOXPLOTS</t>
  </si>
  <si>
    <t>Correlation between Age and GPA =</t>
  </si>
  <si>
    <t>CGPA</t>
  </si>
  <si>
    <t>Average for Empty Age Cell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</si>
</sst>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</a:t>
            </a:r>
          </a:p>
        </c:rich>
      </c:tx>
      <c:layout>
        <c:manualLayout>
          <c:xMode val="edge"/>
          <c:yMode val="edge"/>
          <c:x val="0.2349234470691163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 Mental health'!$AA$1</c:f>
              <c:strCache>
                <c:ptCount val="1"/>
                <c:pt idx="0">
                  <c:v>CGPA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95056867891514E-2"/>
                  <c:y val="-0.18106481481481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</c:trendlineLbl>
          </c:trendline>
          <c:xVal>
            <c:numRef>
              <c:f>'Student Mental health'!$Z$2:$Z$102</c:f>
              <c:numCache>
                <c:formatCode>General</c:formatCode>
                <c:ptCount val="101"/>
                <c:pt idx="0">
                  <c:v>24</c:v>
                </c:pt>
                <c:pt idx="1">
                  <c:v>18</c:v>
                </c:pt>
                <c:pt idx="2">
                  <c:v>24</c:v>
                </c:pt>
                <c:pt idx="3">
                  <c:v>20</c:v>
                </c:pt>
                <c:pt idx="4">
                  <c:v>24</c:v>
                </c:pt>
                <c:pt idx="5">
                  <c:v>18</c:v>
                </c:pt>
                <c:pt idx="6">
                  <c:v>18</c:v>
                </c:pt>
                <c:pt idx="7">
                  <c:v>23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19</c:v>
                </c:pt>
                <c:pt idx="14">
                  <c:v>18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20</c:v>
                </c:pt>
                <c:pt idx="21">
                  <c:v>24</c:v>
                </c:pt>
                <c:pt idx="22">
                  <c:v>19</c:v>
                </c:pt>
                <c:pt idx="23">
                  <c:v>18</c:v>
                </c:pt>
                <c:pt idx="24">
                  <c:v>18</c:v>
                </c:pt>
                <c:pt idx="25">
                  <c:v>24</c:v>
                </c:pt>
                <c:pt idx="26">
                  <c:v>24</c:v>
                </c:pt>
                <c:pt idx="27">
                  <c:v>21</c:v>
                </c:pt>
                <c:pt idx="28">
                  <c:v>21</c:v>
                </c:pt>
                <c:pt idx="29">
                  <c:v>18</c:v>
                </c:pt>
                <c:pt idx="30">
                  <c:v>18</c:v>
                </c:pt>
                <c:pt idx="31">
                  <c:v>24</c:v>
                </c:pt>
                <c:pt idx="32">
                  <c:v>24</c:v>
                </c:pt>
                <c:pt idx="33">
                  <c:v>18</c:v>
                </c:pt>
                <c:pt idx="34">
                  <c:v>22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23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18</c:v>
                </c:pt>
                <c:pt idx="44">
                  <c:v>18</c:v>
                </c:pt>
                <c:pt idx="45">
                  <c:v>20</c:v>
                </c:pt>
                <c:pt idx="46">
                  <c:v>19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24</c:v>
                </c:pt>
                <c:pt idx="51">
                  <c:v>19</c:v>
                </c:pt>
                <c:pt idx="52">
                  <c:v>20</c:v>
                </c:pt>
                <c:pt idx="53">
                  <c:v>24</c:v>
                </c:pt>
                <c:pt idx="54">
                  <c:v>19</c:v>
                </c:pt>
                <c:pt idx="55">
                  <c:v>18</c:v>
                </c:pt>
                <c:pt idx="56">
                  <c:v>24</c:v>
                </c:pt>
                <c:pt idx="57">
                  <c:v>24</c:v>
                </c:pt>
                <c:pt idx="58">
                  <c:v>18</c:v>
                </c:pt>
                <c:pt idx="59">
                  <c:v>19</c:v>
                </c:pt>
                <c:pt idx="60">
                  <c:v>24</c:v>
                </c:pt>
                <c:pt idx="61">
                  <c:v>23</c:v>
                </c:pt>
                <c:pt idx="62">
                  <c:v>18</c:v>
                </c:pt>
                <c:pt idx="63">
                  <c:v>18</c:v>
                </c:pt>
                <c:pt idx="64">
                  <c:v>22</c:v>
                </c:pt>
                <c:pt idx="65">
                  <c:v>18</c:v>
                </c:pt>
                <c:pt idx="66">
                  <c:v>24</c:v>
                </c:pt>
                <c:pt idx="67">
                  <c:v>19</c:v>
                </c:pt>
                <c:pt idx="68">
                  <c:v>18</c:v>
                </c:pt>
                <c:pt idx="69">
                  <c:v>23</c:v>
                </c:pt>
                <c:pt idx="70">
                  <c:v>18</c:v>
                </c:pt>
                <c:pt idx="71">
                  <c:v>19</c:v>
                </c:pt>
                <c:pt idx="72">
                  <c:v>18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18</c:v>
                </c:pt>
                <c:pt idx="77">
                  <c:v>18</c:v>
                </c:pt>
                <c:pt idx="78">
                  <c:v>19</c:v>
                </c:pt>
                <c:pt idx="79">
                  <c:v>18</c:v>
                </c:pt>
                <c:pt idx="80">
                  <c:v>24</c:v>
                </c:pt>
                <c:pt idx="81">
                  <c:v>19</c:v>
                </c:pt>
                <c:pt idx="82">
                  <c:v>19</c:v>
                </c:pt>
                <c:pt idx="83">
                  <c:v>23</c:v>
                </c:pt>
                <c:pt idx="84">
                  <c:v>24</c:v>
                </c:pt>
                <c:pt idx="85">
                  <c:v>18</c:v>
                </c:pt>
                <c:pt idx="86">
                  <c:v>23</c:v>
                </c:pt>
                <c:pt idx="87">
                  <c:v>23</c:v>
                </c:pt>
                <c:pt idx="88">
                  <c:v>19</c:v>
                </c:pt>
                <c:pt idx="89">
                  <c:v>19</c:v>
                </c:pt>
                <c:pt idx="90">
                  <c:v>24</c:v>
                </c:pt>
                <c:pt idx="91">
                  <c:v>18</c:v>
                </c:pt>
                <c:pt idx="92">
                  <c:v>19</c:v>
                </c:pt>
                <c:pt idx="93">
                  <c:v>20.53</c:v>
                </c:pt>
                <c:pt idx="94">
                  <c:v>23</c:v>
                </c:pt>
                <c:pt idx="95">
                  <c:v>21</c:v>
                </c:pt>
                <c:pt idx="96">
                  <c:v>23</c:v>
                </c:pt>
                <c:pt idx="97">
                  <c:v>18</c:v>
                </c:pt>
                <c:pt idx="98">
                  <c:v>23</c:v>
                </c:pt>
                <c:pt idx="99">
                  <c:v>24</c:v>
                </c:pt>
                <c:pt idx="100">
                  <c:v>20</c:v>
                </c:pt>
              </c:numCache>
            </c:numRef>
          </c:xVal>
          <c:yVal>
            <c:numRef>
              <c:f>'Student Mental health'!$AA$2:$AA$102</c:f>
              <c:numCache>
                <c:formatCode>0.00</c:formatCode>
                <c:ptCount val="101"/>
                <c:pt idx="0">
                  <c:v>3.2450000000000001</c:v>
                </c:pt>
                <c:pt idx="1">
                  <c:v>3.75</c:v>
                </c:pt>
                <c:pt idx="2">
                  <c:v>3.75</c:v>
                </c:pt>
                <c:pt idx="3">
                  <c:v>3.2450000000000001</c:v>
                </c:pt>
                <c:pt idx="4">
                  <c:v>3.75</c:v>
                </c:pt>
                <c:pt idx="5">
                  <c:v>3.2450000000000001</c:v>
                </c:pt>
                <c:pt idx="6">
                  <c:v>3.75</c:v>
                </c:pt>
                <c:pt idx="7">
                  <c:v>3.75</c:v>
                </c:pt>
                <c:pt idx="8">
                  <c:v>3.2450000000000001</c:v>
                </c:pt>
                <c:pt idx="9">
                  <c:v>3.2450000000000001</c:v>
                </c:pt>
                <c:pt idx="10">
                  <c:v>2.7450000000000001</c:v>
                </c:pt>
                <c:pt idx="11">
                  <c:v>3.2450000000000001</c:v>
                </c:pt>
                <c:pt idx="12">
                  <c:v>3.75</c:v>
                </c:pt>
                <c:pt idx="13">
                  <c:v>3.2450000000000001</c:v>
                </c:pt>
                <c:pt idx="14">
                  <c:v>3.75</c:v>
                </c:pt>
                <c:pt idx="15">
                  <c:v>3.75</c:v>
                </c:pt>
                <c:pt idx="16">
                  <c:v>3.2450000000000001</c:v>
                </c:pt>
                <c:pt idx="17">
                  <c:v>3.2450000000000001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3.2450000000000001</c:v>
                </c:pt>
                <c:pt idx="22">
                  <c:v>3.75</c:v>
                </c:pt>
                <c:pt idx="23">
                  <c:v>3.75</c:v>
                </c:pt>
                <c:pt idx="24">
                  <c:v>3.2450000000000001</c:v>
                </c:pt>
                <c:pt idx="25">
                  <c:v>3.2450000000000001</c:v>
                </c:pt>
                <c:pt idx="26">
                  <c:v>3.75</c:v>
                </c:pt>
                <c:pt idx="27">
                  <c:v>3.75</c:v>
                </c:pt>
                <c:pt idx="28">
                  <c:v>3.2450000000000001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3.2450000000000001</c:v>
                </c:pt>
                <c:pt idx="33">
                  <c:v>3.2450000000000001</c:v>
                </c:pt>
                <c:pt idx="34">
                  <c:v>3.2450000000000001</c:v>
                </c:pt>
                <c:pt idx="35">
                  <c:v>3.75</c:v>
                </c:pt>
                <c:pt idx="36">
                  <c:v>3.75</c:v>
                </c:pt>
                <c:pt idx="37">
                  <c:v>2.7450000000000001</c:v>
                </c:pt>
                <c:pt idx="38">
                  <c:v>2.7450000000000001</c:v>
                </c:pt>
                <c:pt idx="39">
                  <c:v>3.2450000000000001</c:v>
                </c:pt>
                <c:pt idx="40">
                  <c:v>3.2450000000000001</c:v>
                </c:pt>
                <c:pt idx="41">
                  <c:v>3.75</c:v>
                </c:pt>
                <c:pt idx="42">
                  <c:v>3.2450000000000001</c:v>
                </c:pt>
                <c:pt idx="43">
                  <c:v>3.2450000000000001</c:v>
                </c:pt>
                <c:pt idx="44">
                  <c:v>3.2450000000000001</c:v>
                </c:pt>
                <c:pt idx="45">
                  <c:v>3.2450000000000001</c:v>
                </c:pt>
                <c:pt idx="46">
                  <c:v>3.75</c:v>
                </c:pt>
                <c:pt idx="47">
                  <c:v>3.75</c:v>
                </c:pt>
                <c:pt idx="48">
                  <c:v>3.2450000000000001</c:v>
                </c:pt>
                <c:pt idx="49">
                  <c:v>3.2450000000000001</c:v>
                </c:pt>
                <c:pt idx="50">
                  <c:v>3.2450000000000001</c:v>
                </c:pt>
                <c:pt idx="51">
                  <c:v>2.7450000000000001</c:v>
                </c:pt>
                <c:pt idx="52">
                  <c:v>3.75</c:v>
                </c:pt>
                <c:pt idx="53">
                  <c:v>3.2450000000000001</c:v>
                </c:pt>
                <c:pt idx="54">
                  <c:v>3.2450000000000001</c:v>
                </c:pt>
                <c:pt idx="55">
                  <c:v>3.2450000000000001</c:v>
                </c:pt>
                <c:pt idx="56">
                  <c:v>3.75</c:v>
                </c:pt>
                <c:pt idx="57">
                  <c:v>3.2450000000000001</c:v>
                </c:pt>
                <c:pt idx="58">
                  <c:v>3.75</c:v>
                </c:pt>
                <c:pt idx="59">
                  <c:v>3.75</c:v>
                </c:pt>
                <c:pt idx="60">
                  <c:v>3.75</c:v>
                </c:pt>
                <c:pt idx="61">
                  <c:v>3.2450000000000001</c:v>
                </c:pt>
                <c:pt idx="62">
                  <c:v>2.2450000000000001</c:v>
                </c:pt>
                <c:pt idx="63">
                  <c:v>3.75</c:v>
                </c:pt>
                <c:pt idx="64">
                  <c:v>3.75</c:v>
                </c:pt>
                <c:pt idx="65">
                  <c:v>3.75</c:v>
                </c:pt>
                <c:pt idx="66">
                  <c:v>3.75</c:v>
                </c:pt>
                <c:pt idx="67">
                  <c:v>3.2450000000000001</c:v>
                </c:pt>
                <c:pt idx="68">
                  <c:v>3.75</c:v>
                </c:pt>
                <c:pt idx="69">
                  <c:v>3.2450000000000001</c:v>
                </c:pt>
                <c:pt idx="70">
                  <c:v>3.2450000000000001</c:v>
                </c:pt>
                <c:pt idx="71">
                  <c:v>3.75</c:v>
                </c:pt>
                <c:pt idx="72">
                  <c:v>3.75</c:v>
                </c:pt>
                <c:pt idx="73">
                  <c:v>3.75</c:v>
                </c:pt>
                <c:pt idx="74">
                  <c:v>3.75</c:v>
                </c:pt>
                <c:pt idx="75">
                  <c:v>3.2450000000000001</c:v>
                </c:pt>
                <c:pt idx="76">
                  <c:v>3.75</c:v>
                </c:pt>
                <c:pt idx="77">
                  <c:v>3.2450000000000001</c:v>
                </c:pt>
                <c:pt idx="78">
                  <c:v>0.995</c:v>
                </c:pt>
                <c:pt idx="79">
                  <c:v>3.75</c:v>
                </c:pt>
                <c:pt idx="80">
                  <c:v>3.75</c:v>
                </c:pt>
                <c:pt idx="81">
                  <c:v>3.2450000000000001</c:v>
                </c:pt>
                <c:pt idx="82">
                  <c:v>3.2450000000000001</c:v>
                </c:pt>
                <c:pt idx="83">
                  <c:v>3.75</c:v>
                </c:pt>
                <c:pt idx="84">
                  <c:v>0.995</c:v>
                </c:pt>
                <c:pt idx="85">
                  <c:v>3.75</c:v>
                </c:pt>
                <c:pt idx="86">
                  <c:v>3.75</c:v>
                </c:pt>
                <c:pt idx="87">
                  <c:v>3.2450000000000001</c:v>
                </c:pt>
                <c:pt idx="88">
                  <c:v>3.75</c:v>
                </c:pt>
                <c:pt idx="89">
                  <c:v>3.2450000000000001</c:v>
                </c:pt>
                <c:pt idx="90">
                  <c:v>3.75</c:v>
                </c:pt>
                <c:pt idx="91">
                  <c:v>3.2450000000000001</c:v>
                </c:pt>
                <c:pt idx="92">
                  <c:v>3.75</c:v>
                </c:pt>
                <c:pt idx="93">
                  <c:v>0.995</c:v>
                </c:pt>
                <c:pt idx="94">
                  <c:v>3.75</c:v>
                </c:pt>
                <c:pt idx="95">
                  <c:v>3.2450000000000001</c:v>
                </c:pt>
                <c:pt idx="96">
                  <c:v>3.75</c:v>
                </c:pt>
                <c:pt idx="97">
                  <c:v>0.995</c:v>
                </c:pt>
                <c:pt idx="98">
                  <c:v>3.2450000000000001</c:v>
                </c:pt>
                <c:pt idx="99">
                  <c:v>2.2450000000000001</c:v>
                </c:pt>
                <c:pt idx="100">
                  <c:v>3.2450000000000001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E-4549-A5B2-F9E903685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853392"/>
        <c:axId val="797852560"/>
      </c:scatterChart>
      <c:valAx>
        <c:axId val="79785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97852560"/>
        <c:crosses val="autoZero"/>
        <c:crossBetween val="midCat"/>
      </c:valAx>
      <c:valAx>
        <c:axId val="79785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9785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CGPA Grouped by Depression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CGPA Grouped by Depression</a:t>
          </a:r>
        </a:p>
      </cx:txPr>
    </cx:title>
    <cx:plotArea>
      <cx:plotAreaRegion>
        <cx:series layoutId="boxWhisker" uniqueId="{66251904-F403-46B6-A71B-E26299346EAF}">
          <cx:tx>
            <cx:txData>
              <cx:f/>
              <cx:v>Yes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D773DFC-C79C-45A9-A611-7BCC2042865C}">
          <cx:tx>
            <cx:txData>
              <cx:f/>
              <cx:v>No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YES                              NO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YES                              NO</a:t>
              </a:r>
            </a:p>
          </cx:txPr>
        </cx:title>
        <cx:tickLabels/>
      </cx:axis>
      <cx:axis id="1">
        <cx:valScaling/>
        <cx:title>
          <cx:tx>
            <cx:txData>
              <cx:v>CGPA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CGPA</a:t>
              </a:r>
            </a:p>
          </cx:txPr>
        </cx:title>
        <cx:majorGridlines/>
        <cx:tickLabels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CGPA Grouped by Anxiety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CGPA Grouped by Anxiety</a:t>
          </a:r>
        </a:p>
      </cx:txPr>
    </cx:title>
    <cx:plotArea>
      <cx:plotAreaRegion>
        <cx:series layoutId="boxWhisker" uniqueId="{27F45B0D-DC9F-4981-A9F2-20198D5C7F98}">
          <cx:tx>
            <cx:txData>
              <cx:f/>
              <cx:v>Yes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8C499B6-239C-48C9-9887-D73D4B309A45}">
          <cx:tx>
            <cx:txData>
              <cx:f/>
              <cx:v>No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YES                             NO  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YES                             NO  </a:t>
              </a:r>
            </a:p>
          </cx:txPr>
        </cx:title>
        <cx:tickLabels/>
      </cx:axis>
      <cx:axis id="1">
        <cx:valScaling/>
        <cx:title>
          <cx:tx>
            <cx:txData>
              <cx:v>CGPA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CGPA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</cx:chartData>
  <cx:chart>
    <cx:title pos="t" align="ctr" overlay="0">
      <cx:tx>
        <cx:txData>
          <cx:v>CGPA Grouped by Marital Status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CGPA Grouped by Marital Status</a:t>
          </a:r>
        </a:p>
      </cx:txPr>
    </cx:title>
    <cx:plotArea>
      <cx:plotAreaRegion>
        <cx:series layoutId="boxWhisker" uniqueId="{21441B11-55E2-4195-982B-D3E179107853}">
          <cx:tx>
            <cx:txData>
              <cx:f/>
              <cx:v>Yes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F540100-9998-4D0F-A62B-2820A44511BD}">
          <cx:tx>
            <cx:txData>
              <cx:f/>
              <cx:v>No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YES                               NO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YES                               NO</a:t>
              </a:r>
            </a:p>
          </cx:txPr>
        </cx:title>
        <cx:tickLabels/>
      </cx:axis>
      <cx:axis id="1">
        <cx:valScaling/>
        <cx:title>
          <cx:tx>
            <cx:txData>
              <cx:v>CGPA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CGPA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title pos="t" align="ctr" overlay="0">
      <cx:tx>
        <cx:txData>
          <cx:v>CGPA Grouped by Gender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CGPA Grouped by Gender</a:t>
          </a:r>
        </a:p>
      </cx:txPr>
    </cx:title>
    <cx:plotArea>
      <cx:plotAreaRegion>
        <cx:series layoutId="boxWhisker" uniqueId="{32F46E6B-BCAD-4FE3-9D68-758D711C2138}">
          <cx:tx>
            <cx:txData>
              <cx:f>_xlchart.v1.6</cx:f>
              <cx:v>Male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D28EBF1-26E5-4EB9-BCE5-41F8B1E3BAE4}">
          <cx:tx>
            <cx:txData>
              <cx:f>_xlchart.v1.8</cx:f>
              <cx:v>Female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 Male                Female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 Male                Female</a:t>
              </a:r>
            </a:p>
          </cx:txPr>
        </cx:title>
        <cx:tickLabels/>
      </cx:axis>
      <cx:axis id="1">
        <cx:valScaling/>
        <cx:title>
          <cx:tx>
            <cx:txData>
              <cx:v>CGPA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CGPA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 /><Relationship Id="rId2" Type="http://schemas.microsoft.com/office/2014/relationships/chartEx" Target="../charts/chartEx1.xml" /><Relationship Id="rId1" Type="http://schemas.openxmlformats.org/officeDocument/2006/relationships/chart" Target="../charts/chart1.xml" /><Relationship Id="rId5" Type="http://schemas.microsoft.com/office/2014/relationships/chartEx" Target="../charts/chartEx4.xml" /><Relationship Id="rId4" Type="http://schemas.microsoft.com/office/2014/relationships/chartEx" Target="../charts/chartEx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610378</xdr:colOff>
      <xdr:row>65</xdr:row>
      <xdr:rowOff>193220</xdr:rowOff>
    </xdr:from>
    <xdr:to>
      <xdr:col>23</xdr:col>
      <xdr:colOff>0</xdr:colOff>
      <xdr:row>80</xdr:row>
      <xdr:rowOff>20604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0EAE64-23EA-4D7F-908D-ECC484317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596156</xdr:colOff>
      <xdr:row>33</xdr:row>
      <xdr:rowOff>165847</xdr:rowOff>
    </xdr:from>
    <xdr:to>
      <xdr:col>23</xdr:col>
      <xdr:colOff>4483</xdr:colOff>
      <xdr:row>47</xdr:row>
      <xdr:rowOff>188259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29492D-F1B3-4646-B719-DA6474019D4E}"/>
                </a:ext>
                <a:ext uri="{147F2762-F138-4A5C-976F-8EAC2B608ADB}">
                  <a16:predDERef xmlns:a16="http://schemas.microsoft.com/office/drawing/2014/main" pred="{700EAE64-23EA-4D7F-908D-ECC4843172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4482</xdr:colOff>
      <xdr:row>49</xdr:row>
      <xdr:rowOff>179296</xdr:rowOff>
    </xdr:from>
    <xdr:to>
      <xdr:col>23</xdr:col>
      <xdr:colOff>1</xdr:colOff>
      <xdr:row>64</xdr:row>
      <xdr:rowOff>22412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F4671AA-314D-46EA-A162-16338672531E}"/>
                </a:ext>
                <a:ext uri="{147F2762-F138-4A5C-976F-8EAC2B608ADB}">
                  <a16:predDERef xmlns:a16="http://schemas.microsoft.com/office/drawing/2014/main" pred="{EF29492D-F1B3-4646-B719-DA6474019D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601652</xdr:colOff>
      <xdr:row>17</xdr:row>
      <xdr:rowOff>178163</xdr:rowOff>
    </xdr:from>
    <xdr:to>
      <xdr:col>23</xdr:col>
      <xdr:colOff>22413</xdr:colOff>
      <xdr:row>32</xdr:row>
      <xdr:rowOff>4482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3DF4A336-AC99-4D86-8046-0072D105BB0A}"/>
                </a:ext>
                <a:ext uri="{147F2762-F138-4A5C-976F-8EAC2B608ADB}">
                  <a16:predDERef xmlns:a16="http://schemas.microsoft.com/office/drawing/2014/main" pred="{8F4671AA-314D-46EA-A162-1633867253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596154</xdr:colOff>
      <xdr:row>1</xdr:row>
      <xdr:rowOff>188258</xdr:rowOff>
    </xdr:from>
    <xdr:to>
      <xdr:col>23</xdr:col>
      <xdr:colOff>8966</xdr:colOff>
      <xdr:row>16</xdr:row>
      <xdr:rowOff>4483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3A06D0CA-B72F-45D2-8A60-19F9BA7A12FB}"/>
                </a:ext>
                <a:ext uri="{147F2762-F138-4A5C-976F-8EAC2B608ADB}">
                  <a16:predDERef xmlns:a16="http://schemas.microsoft.com/office/drawing/2014/main" pred="{3DF4A336-AC99-4D86-8046-0072D105BB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E683758BAF3AB6/Q2%20Student%20Mental%20Health_Revised%20Assignment%20ITS.xlsx" TargetMode="External" /><Relationship Id="rId1" Type="http://schemas.openxmlformats.org/officeDocument/2006/relationships/externalLinkPath" Target="Q2%20Student%20Mental%20Health_Revised%20Assignment%20IT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 Mental health"/>
    </sheetNames>
    <sheetDataSet>
      <sheetData sheetId="0">
        <row r="3">
          <cell r="X3">
            <v>3.2450000000000001</v>
          </cell>
          <cell r="Y3">
            <v>3.2450000000000001</v>
          </cell>
          <cell r="AB3">
            <v>3.2450000000000001</v>
          </cell>
          <cell r="AC3">
            <v>3.75</v>
          </cell>
          <cell r="AN3">
            <v>3.75</v>
          </cell>
          <cell r="AO3">
            <v>2.7450000000000001</v>
          </cell>
        </row>
        <row r="4">
          <cell r="X4">
            <v>3.75</v>
          </cell>
          <cell r="Y4">
            <v>3.75</v>
          </cell>
          <cell r="AB4">
            <v>3.2450000000000001</v>
          </cell>
          <cell r="AC4">
            <v>2.7450000000000001</v>
          </cell>
          <cell r="AN4">
            <v>3.75</v>
          </cell>
          <cell r="AO4">
            <v>3.75</v>
          </cell>
        </row>
        <row r="5">
          <cell r="X5">
            <v>3.75</v>
          </cell>
          <cell r="Y5">
            <v>2.7450000000000001</v>
          </cell>
          <cell r="AB5">
            <v>3.75</v>
          </cell>
          <cell r="AC5">
            <v>3.75</v>
          </cell>
          <cell r="AN5">
            <v>3.75</v>
          </cell>
          <cell r="AO5">
            <v>3.2450000000000001</v>
          </cell>
        </row>
        <row r="6">
          <cell r="X6">
            <v>3.2450000000000001</v>
          </cell>
          <cell r="Y6">
            <v>3.75</v>
          </cell>
          <cell r="AB6">
            <v>3.2450000000000001</v>
          </cell>
          <cell r="AC6">
            <v>3.75</v>
          </cell>
          <cell r="AN6">
            <v>3.2450000000000001</v>
          </cell>
          <cell r="AO6">
            <v>3.2450000000000001</v>
          </cell>
        </row>
        <row r="7">
          <cell r="N7" t="str">
            <v>Male</v>
          </cell>
          <cell r="O7" t="str">
            <v>Female</v>
          </cell>
          <cell r="X7">
            <v>3.75</v>
          </cell>
          <cell r="Y7">
            <v>3.2450000000000001</v>
          </cell>
          <cell r="AB7">
            <v>3.2450000000000001</v>
          </cell>
          <cell r="AC7">
            <v>3.2450000000000001</v>
          </cell>
          <cell r="AN7">
            <v>3.75</v>
          </cell>
          <cell r="AO7">
            <v>3.2450000000000001</v>
          </cell>
        </row>
        <row r="8">
          <cell r="N8">
            <v>3.2450000000000001</v>
          </cell>
          <cell r="O8">
            <v>3.2450000000000001</v>
          </cell>
          <cell r="X8">
            <v>3.75</v>
          </cell>
          <cell r="Y8">
            <v>3.75</v>
          </cell>
          <cell r="AB8">
            <v>2.7450000000000001</v>
          </cell>
          <cell r="AC8">
            <v>3.75</v>
          </cell>
          <cell r="AN8">
            <v>3.75</v>
          </cell>
          <cell r="AO8">
            <v>3.75</v>
          </cell>
        </row>
        <row r="9">
          <cell r="N9">
            <v>3.2450000000000001</v>
          </cell>
          <cell r="O9">
            <v>3.2450000000000001</v>
          </cell>
          <cell r="X9">
            <v>2.7450000000000001</v>
          </cell>
          <cell r="Y9">
            <v>3.2450000000000001</v>
          </cell>
          <cell r="AB9">
            <v>3.2450000000000001</v>
          </cell>
          <cell r="AC9">
            <v>3.2450000000000001</v>
          </cell>
          <cell r="AN9">
            <v>3.2450000000000001</v>
          </cell>
          <cell r="AO9">
            <v>3.2450000000000001</v>
          </cell>
        </row>
        <row r="10">
          <cell r="N10">
            <v>3.2450000000000001</v>
          </cell>
          <cell r="O10">
            <v>3.75</v>
          </cell>
          <cell r="X10">
            <v>2.7450000000000001</v>
          </cell>
          <cell r="Y10">
            <v>3.75</v>
          </cell>
          <cell r="AB10">
            <v>3.75</v>
          </cell>
          <cell r="AC10">
            <v>3.2450000000000001</v>
          </cell>
          <cell r="AN10">
            <v>3.2450000000000001</v>
          </cell>
          <cell r="AO10">
            <v>3.75</v>
          </cell>
        </row>
        <row r="11">
          <cell r="N11">
            <v>3.75</v>
          </cell>
          <cell r="O11">
            <v>3.75</v>
          </cell>
          <cell r="X11">
            <v>3.2450000000000001</v>
          </cell>
          <cell r="Y11">
            <v>3.2450000000000001</v>
          </cell>
          <cell r="AB11">
            <v>3.2450000000000001</v>
          </cell>
          <cell r="AC11">
            <v>3.75</v>
          </cell>
          <cell r="AN11">
            <v>3.75</v>
          </cell>
          <cell r="AO11">
            <v>3.75</v>
          </cell>
        </row>
        <row r="12">
          <cell r="N12">
            <v>3.75</v>
          </cell>
          <cell r="O12">
            <v>2.7450000000000001</v>
          </cell>
          <cell r="X12">
            <v>3.2450000000000001</v>
          </cell>
          <cell r="Y12">
            <v>3.2450000000000001</v>
          </cell>
          <cell r="AB12">
            <v>3.75</v>
          </cell>
          <cell r="AC12">
            <v>3.2450000000000001</v>
          </cell>
          <cell r="AN12">
            <v>3.75</v>
          </cell>
          <cell r="AO12">
            <v>3.75</v>
          </cell>
        </row>
        <row r="13">
          <cell r="N13">
            <v>3.2450000000000001</v>
          </cell>
          <cell r="O13">
            <v>3.75</v>
          </cell>
          <cell r="X13">
            <v>3.75</v>
          </cell>
          <cell r="Y13">
            <v>3.75</v>
          </cell>
          <cell r="AB13">
            <v>3.75</v>
          </cell>
          <cell r="AC13">
            <v>3.75</v>
          </cell>
          <cell r="AN13">
            <v>3.2450000000000001</v>
          </cell>
          <cell r="AO13">
            <v>3.2450000000000001</v>
          </cell>
        </row>
        <row r="14">
          <cell r="N14">
            <v>3.75</v>
          </cell>
          <cell r="O14">
            <v>3.75</v>
          </cell>
          <cell r="X14">
            <v>3.2450000000000001</v>
          </cell>
          <cell r="Y14">
            <v>3.2450000000000001</v>
          </cell>
          <cell r="AB14">
            <v>3.2450000000000001</v>
          </cell>
          <cell r="AC14">
            <v>3.75</v>
          </cell>
          <cell r="AN14">
            <v>3.75</v>
          </cell>
          <cell r="AO14">
            <v>2.2450000000000001</v>
          </cell>
        </row>
        <row r="15">
          <cell r="N15">
            <v>3.2450000000000001</v>
          </cell>
          <cell r="O15">
            <v>3.2450000000000001</v>
          </cell>
          <cell r="X15">
            <v>3.75</v>
          </cell>
          <cell r="Y15">
            <v>3.75</v>
          </cell>
          <cell r="AB15">
            <v>3.2450000000000001</v>
          </cell>
          <cell r="AC15">
            <v>3.75</v>
          </cell>
          <cell r="AN15">
            <v>3.75</v>
          </cell>
          <cell r="AO15">
            <v>3.75</v>
          </cell>
        </row>
        <row r="16">
          <cell r="N16">
            <v>3.2450000000000001</v>
          </cell>
          <cell r="O16">
            <v>3.75</v>
          </cell>
          <cell r="X16">
            <v>3.2450000000000001</v>
          </cell>
          <cell r="Y16">
            <v>3.75</v>
          </cell>
          <cell r="AB16">
            <v>3.75</v>
          </cell>
          <cell r="AC16">
            <v>3.2450000000000001</v>
          </cell>
          <cell r="AN16">
            <v>3.75</v>
          </cell>
          <cell r="AO16">
            <v>3.75</v>
          </cell>
        </row>
        <row r="17">
          <cell r="N17">
            <v>3.75</v>
          </cell>
          <cell r="O17">
            <v>3.2450000000000001</v>
          </cell>
          <cell r="X17">
            <v>3.75</v>
          </cell>
          <cell r="Y17">
            <v>3.75</v>
          </cell>
          <cell r="AB17">
            <v>3.75</v>
          </cell>
          <cell r="AC17">
            <v>2.2450000000000001</v>
          </cell>
          <cell r="AN17">
            <v>3.2450000000000001</v>
          </cell>
          <cell r="AO17">
            <v>3.75</v>
          </cell>
        </row>
        <row r="18">
          <cell r="N18">
            <v>3.75</v>
          </cell>
          <cell r="O18">
            <v>3.2450000000000001</v>
          </cell>
          <cell r="X18">
            <v>3.2450000000000001</v>
          </cell>
          <cell r="Y18">
            <v>3.75</v>
          </cell>
          <cell r="AB18">
            <v>3.2450000000000001</v>
          </cell>
          <cell r="AC18">
            <v>3.75</v>
          </cell>
          <cell r="AN18">
            <v>3.2450000000000001</v>
          </cell>
          <cell r="AO18">
            <v>3.75</v>
          </cell>
        </row>
        <row r="19">
          <cell r="N19">
            <v>0.995</v>
          </cell>
          <cell r="O19">
            <v>3.75</v>
          </cell>
          <cell r="Y19">
            <v>3.2450000000000001</v>
          </cell>
          <cell r="AB19">
            <v>3.2450000000000001</v>
          </cell>
          <cell r="AC19">
            <v>3.2450000000000001</v>
          </cell>
          <cell r="AN19">
            <v>3.75</v>
          </cell>
          <cell r="AO19">
            <v>3.2450000000000001</v>
          </cell>
        </row>
        <row r="20">
          <cell r="N20">
            <v>3.75</v>
          </cell>
          <cell r="O20">
            <v>3.75</v>
          </cell>
          <cell r="Y20">
            <v>3.2450000000000001</v>
          </cell>
          <cell r="AB20">
            <v>3.2450000000000001</v>
          </cell>
          <cell r="AC20">
            <v>3.75</v>
          </cell>
          <cell r="AN20">
            <v>3.2450000000000001</v>
          </cell>
          <cell r="AO20">
            <v>3.75</v>
          </cell>
        </row>
        <row r="21">
          <cell r="N21">
            <v>3.75</v>
          </cell>
          <cell r="O21">
            <v>3.2450000000000001</v>
          </cell>
          <cell r="Y21">
            <v>2.2450000000000001</v>
          </cell>
          <cell r="AB21">
            <v>3.2450000000000001</v>
          </cell>
          <cell r="AC21">
            <v>3.75</v>
          </cell>
          <cell r="AN21">
            <v>3.2450000000000001</v>
          </cell>
          <cell r="AO21">
            <v>3.2450000000000001</v>
          </cell>
        </row>
        <row r="22">
          <cell r="N22">
            <v>3.2450000000000001</v>
          </cell>
          <cell r="O22">
            <v>3.2450000000000001</v>
          </cell>
          <cell r="Y22">
            <v>3.2450000000000001</v>
          </cell>
          <cell r="AB22">
            <v>3.2450000000000001</v>
          </cell>
          <cell r="AC22">
            <v>3.75</v>
          </cell>
          <cell r="AN22">
            <v>2.7450000000000001</v>
          </cell>
          <cell r="AO22">
            <v>3.2450000000000001</v>
          </cell>
        </row>
        <row r="23">
          <cell r="N23">
            <v>3.2450000000000001</v>
          </cell>
          <cell r="O23">
            <v>3.75</v>
          </cell>
          <cell r="Y23">
            <v>2.7450000000000001</v>
          </cell>
          <cell r="AB23">
            <v>3.75</v>
          </cell>
          <cell r="AC23">
            <v>3.75</v>
          </cell>
          <cell r="AN23">
            <v>3.2450000000000001</v>
          </cell>
          <cell r="AO23">
            <v>3.75</v>
          </cell>
        </row>
        <row r="24">
          <cell r="N24">
            <v>3.75</v>
          </cell>
          <cell r="O24">
            <v>3.2450000000000001</v>
          </cell>
          <cell r="Y24">
            <v>3.75</v>
          </cell>
          <cell r="AB24">
            <v>3.75</v>
          </cell>
          <cell r="AC24">
            <v>3.75</v>
          </cell>
          <cell r="AN24">
            <v>3.75</v>
          </cell>
          <cell r="AO24">
            <v>3.75</v>
          </cell>
        </row>
        <row r="25">
          <cell r="N25">
            <v>3.2450000000000001</v>
          </cell>
          <cell r="O25">
            <v>3.75</v>
          </cell>
          <cell r="Y25">
            <v>3.2450000000000001</v>
          </cell>
          <cell r="AB25">
            <v>3.2450000000000001</v>
          </cell>
          <cell r="AC25">
            <v>3.2450000000000001</v>
          </cell>
          <cell r="AN25">
            <v>3.2450000000000001</v>
          </cell>
          <cell r="AO25">
            <v>3.75</v>
          </cell>
        </row>
        <row r="26">
          <cell r="N26">
            <v>0.995</v>
          </cell>
          <cell r="O26">
            <v>3.75</v>
          </cell>
          <cell r="Y26">
            <v>3.75</v>
          </cell>
          <cell r="AB26">
            <v>3.75</v>
          </cell>
          <cell r="AC26">
            <v>3.75</v>
          </cell>
          <cell r="AN26">
            <v>3.75</v>
          </cell>
          <cell r="AO26">
            <v>3.75</v>
          </cell>
        </row>
        <row r="27">
          <cell r="N27">
            <v>3.75</v>
          </cell>
          <cell r="O27">
            <v>3.75</v>
          </cell>
          <cell r="Y27">
            <v>3.2450000000000001</v>
          </cell>
          <cell r="AB27">
            <v>3.75</v>
          </cell>
          <cell r="AC27">
            <v>3.2450000000000001</v>
          </cell>
          <cell r="AN27">
            <v>3.75</v>
          </cell>
          <cell r="AO27">
            <v>3.2450000000000001</v>
          </cell>
        </row>
        <row r="28">
          <cell r="N28">
            <v>3.2450000000000001</v>
          </cell>
          <cell r="O28">
            <v>3.75</v>
          </cell>
          <cell r="Y28">
            <v>3.75</v>
          </cell>
          <cell r="AB28">
            <v>2.7450000000000001</v>
          </cell>
          <cell r="AC28">
            <v>3.2450000000000001</v>
          </cell>
          <cell r="AN28">
            <v>3.2450000000000001</v>
          </cell>
          <cell r="AO28">
            <v>3.75</v>
          </cell>
        </row>
        <row r="29">
          <cell r="N29">
            <v>3.2450000000000001</v>
          </cell>
          <cell r="O29">
            <v>3.75</v>
          </cell>
          <cell r="Y29">
            <v>3.75</v>
          </cell>
          <cell r="AB29">
            <v>2.7450000000000001</v>
          </cell>
          <cell r="AC29">
            <v>3.75</v>
          </cell>
          <cell r="AN29">
            <v>3.2450000000000001</v>
          </cell>
          <cell r="AO29">
            <v>3.2450000000000001</v>
          </cell>
        </row>
        <row r="30">
          <cell r="N30">
            <v>2.2450000000000001</v>
          </cell>
          <cell r="O30">
            <v>3.2450000000000001</v>
          </cell>
          <cell r="Y30">
            <v>3.75</v>
          </cell>
          <cell r="AB30">
            <v>3.2450000000000001</v>
          </cell>
          <cell r="AC30">
            <v>3.75</v>
          </cell>
          <cell r="AN30">
            <v>3.2450000000000001</v>
          </cell>
          <cell r="AO30">
            <v>0.995</v>
          </cell>
        </row>
        <row r="31">
          <cell r="N31">
            <v>3.2450000000000001</v>
          </cell>
          <cell r="O31">
            <v>3.2450000000000001</v>
          </cell>
          <cell r="Y31">
            <v>3.75</v>
          </cell>
          <cell r="AB31">
            <v>3.2450000000000001</v>
          </cell>
          <cell r="AC31">
            <v>3.75</v>
          </cell>
          <cell r="AN31">
            <v>3.75</v>
          </cell>
          <cell r="AO31">
            <v>3.75</v>
          </cell>
        </row>
        <row r="32">
          <cell r="N32">
            <v>3.2450000000000001</v>
          </cell>
          <cell r="O32">
            <v>2.2450000000000001</v>
          </cell>
          <cell r="Y32">
            <v>3.2450000000000001</v>
          </cell>
          <cell r="AB32">
            <v>3.75</v>
          </cell>
          <cell r="AC32">
            <v>3.75</v>
          </cell>
          <cell r="AN32">
            <v>3.75</v>
          </cell>
          <cell r="AO32">
            <v>3.75</v>
          </cell>
        </row>
        <row r="33">
          <cell r="N33">
            <v>3.2450000000000001</v>
          </cell>
          <cell r="O33">
            <v>3.2450000000000001</v>
          </cell>
          <cell r="Y33">
            <v>3.75</v>
          </cell>
          <cell r="AB33">
            <v>3.2450000000000001</v>
          </cell>
          <cell r="AC33">
            <v>3.2450000000000001</v>
          </cell>
          <cell r="AN33">
            <v>3.2450000000000001</v>
          </cell>
          <cell r="AO33">
            <v>3.2450000000000001</v>
          </cell>
        </row>
        <row r="34">
          <cell r="O34">
            <v>2.7450000000000001</v>
          </cell>
          <cell r="Y34">
            <v>3.2450000000000001</v>
          </cell>
          <cell r="AB34">
            <v>3.75</v>
          </cell>
          <cell r="AC34">
            <v>3.2450000000000001</v>
          </cell>
          <cell r="AN34">
            <v>3.75</v>
          </cell>
          <cell r="AO34">
            <v>3.2450000000000001</v>
          </cell>
        </row>
        <row r="35">
          <cell r="O35">
            <v>3.75</v>
          </cell>
          <cell r="Y35">
            <v>3.75</v>
          </cell>
          <cell r="AB35">
            <v>3.2450000000000001</v>
          </cell>
          <cell r="AC35">
            <v>3.2450000000000001</v>
          </cell>
          <cell r="AN35">
            <v>3.2450000000000001</v>
          </cell>
          <cell r="AO35">
            <v>3.75</v>
          </cell>
        </row>
        <row r="36">
          <cell r="O36">
            <v>2.7450000000000001</v>
          </cell>
          <cell r="Y36">
            <v>3.2450000000000001</v>
          </cell>
          <cell r="AB36">
            <v>3.75</v>
          </cell>
          <cell r="AC36">
            <v>3.75</v>
          </cell>
          <cell r="AN36">
            <v>3.75</v>
          </cell>
          <cell r="AO36">
            <v>0.995</v>
          </cell>
        </row>
        <row r="37">
          <cell r="O37">
            <v>3.2450000000000001</v>
          </cell>
          <cell r="Y37">
            <v>3.2450000000000001</v>
          </cell>
          <cell r="AB37">
            <v>3.2450000000000001</v>
          </cell>
          <cell r="AC37">
            <v>3.75</v>
          </cell>
        </row>
        <row r="38">
          <cell r="O38">
            <v>3.75</v>
          </cell>
          <cell r="Y38">
            <v>3.75</v>
          </cell>
          <cell r="AB38"/>
          <cell r="AC38">
            <v>3.2450000000000001</v>
          </cell>
        </row>
        <row r="39">
          <cell r="O39">
            <v>3.2450000000000001</v>
          </cell>
          <cell r="Y39">
            <v>3.75</v>
          </cell>
          <cell r="AB39"/>
          <cell r="AC39">
            <v>0.995</v>
          </cell>
        </row>
        <row r="40">
          <cell r="O40">
            <v>3.75</v>
          </cell>
          <cell r="Y40">
            <v>3.75</v>
          </cell>
          <cell r="AB40"/>
          <cell r="AC40">
            <v>3.75</v>
          </cell>
        </row>
        <row r="41">
          <cell r="O41">
            <v>3.75</v>
          </cell>
          <cell r="Y41">
            <v>3.75</v>
          </cell>
          <cell r="AB41"/>
          <cell r="AC41">
            <v>3.75</v>
          </cell>
        </row>
        <row r="42">
          <cell r="O42">
            <v>3.75</v>
          </cell>
          <cell r="Y42">
            <v>3.75</v>
          </cell>
          <cell r="AB42"/>
          <cell r="AC42">
            <v>3.2450000000000001</v>
          </cell>
        </row>
        <row r="43">
          <cell r="O43">
            <v>2.7450000000000001</v>
          </cell>
          <cell r="Y43">
            <v>3.2450000000000001</v>
          </cell>
          <cell r="AB43"/>
          <cell r="AC43">
            <v>3.2450000000000001</v>
          </cell>
        </row>
        <row r="44">
          <cell r="O44">
            <v>3.75</v>
          </cell>
          <cell r="Y44">
            <v>3.75</v>
          </cell>
          <cell r="AB44"/>
          <cell r="AC44">
            <v>3.75</v>
          </cell>
        </row>
        <row r="45">
          <cell r="O45">
            <v>3.2450000000000001</v>
          </cell>
          <cell r="Y45">
            <v>3.2450000000000001</v>
          </cell>
          <cell r="AB45"/>
          <cell r="AC45">
            <v>0.995</v>
          </cell>
        </row>
        <row r="46">
          <cell r="O46">
            <v>3.2450000000000001</v>
          </cell>
          <cell r="Y46">
            <v>3.2450000000000001</v>
          </cell>
          <cell r="AB46"/>
          <cell r="AC46">
            <v>3.75</v>
          </cell>
        </row>
        <row r="47">
          <cell r="O47">
            <v>3.75</v>
          </cell>
          <cell r="Y47">
            <v>3.75</v>
          </cell>
          <cell r="AB47"/>
          <cell r="AC47">
            <v>3.75</v>
          </cell>
        </row>
        <row r="48">
          <cell r="O48">
            <v>3.2450000000000001</v>
          </cell>
          <cell r="Y48">
            <v>3.75</v>
          </cell>
          <cell r="AB48"/>
          <cell r="AC48">
            <v>3.75</v>
          </cell>
        </row>
        <row r="49">
          <cell r="O49">
            <v>3.75</v>
          </cell>
          <cell r="Y49">
            <v>3.2450000000000001</v>
          </cell>
          <cell r="AB49"/>
          <cell r="AC49">
            <v>3.2450000000000001</v>
          </cell>
        </row>
        <row r="50">
          <cell r="O50">
            <v>3.2450000000000001</v>
          </cell>
          <cell r="Y50">
            <v>3.2450000000000001</v>
          </cell>
          <cell r="AB50"/>
          <cell r="AC50">
            <v>3.2450000000000001</v>
          </cell>
        </row>
        <row r="51">
          <cell r="O51">
            <v>3.2450000000000001</v>
          </cell>
          <cell r="Y51">
            <v>0.995</v>
          </cell>
          <cell r="AB51"/>
          <cell r="AC51">
            <v>3.75</v>
          </cell>
        </row>
        <row r="52">
          <cell r="O52">
            <v>3.75</v>
          </cell>
          <cell r="Y52">
            <v>3.75</v>
          </cell>
          <cell r="AB52"/>
          <cell r="AC52">
            <v>3.75</v>
          </cell>
        </row>
        <row r="53">
          <cell r="O53">
            <v>3.75</v>
          </cell>
          <cell r="Y53">
            <v>3.75</v>
          </cell>
          <cell r="AB53"/>
          <cell r="AC53">
            <v>3.2450000000000001</v>
          </cell>
        </row>
        <row r="54">
          <cell r="O54">
            <v>3.75</v>
          </cell>
          <cell r="Y54">
            <v>3.2450000000000001</v>
          </cell>
          <cell r="AB54"/>
          <cell r="AC54">
            <v>3.75</v>
          </cell>
        </row>
        <row r="55">
          <cell r="O55">
            <v>3.75</v>
          </cell>
          <cell r="Y55">
            <v>3.2450000000000001</v>
          </cell>
          <cell r="AB55"/>
          <cell r="AC55">
            <v>3.2450000000000001</v>
          </cell>
        </row>
        <row r="56">
          <cell r="O56">
            <v>3.75</v>
          </cell>
          <cell r="Y56">
            <v>3.75</v>
          </cell>
          <cell r="AB56"/>
          <cell r="AC56">
            <v>3.75</v>
          </cell>
        </row>
        <row r="57">
          <cell r="O57">
            <v>3.2450000000000001</v>
          </cell>
          <cell r="Y57">
            <v>3.2450000000000001</v>
          </cell>
          <cell r="AB57"/>
          <cell r="AC57">
            <v>0.995</v>
          </cell>
        </row>
        <row r="58">
          <cell r="O58">
            <v>3.75</v>
          </cell>
          <cell r="Y58">
            <v>3.75</v>
          </cell>
          <cell r="AB58"/>
          <cell r="AC58">
            <v>3.75</v>
          </cell>
        </row>
        <row r="59">
          <cell r="O59">
            <v>3.2450000000000001</v>
          </cell>
          <cell r="Y59">
            <v>3.75</v>
          </cell>
          <cell r="AB59"/>
          <cell r="AC59">
            <v>3.75</v>
          </cell>
        </row>
        <row r="60">
          <cell r="O60">
            <v>3.2450000000000001</v>
          </cell>
          <cell r="Y60">
            <v>3.2450000000000001</v>
          </cell>
          <cell r="AB60"/>
          <cell r="AC60">
            <v>3.2450000000000001</v>
          </cell>
        </row>
        <row r="61">
          <cell r="O61">
            <v>3.75</v>
          </cell>
          <cell r="Y61">
            <v>0.995</v>
          </cell>
          <cell r="AB61"/>
          <cell r="AC61">
            <v>3.75</v>
          </cell>
        </row>
        <row r="62">
          <cell r="O62">
            <v>3.2450000000000001</v>
          </cell>
          <cell r="Y62">
            <v>3.75</v>
          </cell>
          <cell r="AB62"/>
          <cell r="AC62">
            <v>0.995</v>
          </cell>
        </row>
        <row r="63">
          <cell r="O63">
            <v>3.75</v>
          </cell>
          <cell r="Y63">
            <v>3.75</v>
          </cell>
          <cell r="AB63"/>
          <cell r="AC63">
            <v>3.75</v>
          </cell>
        </row>
        <row r="64">
          <cell r="O64">
            <v>3.2450000000000001</v>
          </cell>
          <cell r="Y64">
            <v>3.75</v>
          </cell>
          <cell r="AB64"/>
          <cell r="AC64">
            <v>3.2450000000000001</v>
          </cell>
        </row>
        <row r="65">
          <cell r="O65">
            <v>3.2450000000000001</v>
          </cell>
          <cell r="Y65">
            <v>3.2450000000000001</v>
          </cell>
          <cell r="AB65"/>
          <cell r="AC65">
            <v>3.2450000000000001</v>
          </cell>
        </row>
        <row r="66">
          <cell r="O66">
            <v>0.995</v>
          </cell>
          <cell r="Y66">
            <v>3.2450000000000001</v>
          </cell>
          <cell r="AB66"/>
          <cell r="AC66">
            <v>2.2450000000000001</v>
          </cell>
        </row>
        <row r="67">
          <cell r="O67">
            <v>3.75</v>
          </cell>
          <cell r="Y67">
            <v>3.2450000000000001</v>
          </cell>
          <cell r="AB67"/>
          <cell r="AC67">
            <v>3.2450000000000001</v>
          </cell>
        </row>
        <row r="68">
          <cell r="O68">
            <v>3.75</v>
          </cell>
          <cell r="Y68">
            <v>3.75</v>
          </cell>
          <cell r="AB68"/>
          <cell r="AC68">
            <v>3.2450000000000001</v>
          </cell>
        </row>
        <row r="69">
          <cell r="O69">
            <v>3.75</v>
          </cell>
          <cell r="Y69">
            <v>3.75</v>
          </cell>
        </row>
        <row r="70">
          <cell r="O70">
            <v>3.2450000000000001</v>
          </cell>
          <cell r="Y70">
            <v>3.2450000000000001</v>
          </cell>
        </row>
        <row r="71">
          <cell r="O71">
            <v>3.2450000000000001</v>
          </cell>
          <cell r="Y71">
            <v>3.75</v>
          </cell>
        </row>
        <row r="72">
          <cell r="O72">
            <v>3.75</v>
          </cell>
          <cell r="Y72">
            <v>3.2450000000000001</v>
          </cell>
        </row>
        <row r="73">
          <cell r="O73">
            <v>3.2450000000000001</v>
          </cell>
          <cell r="Y73">
            <v>3.75</v>
          </cell>
        </row>
        <row r="74">
          <cell r="O74">
            <v>3.75</v>
          </cell>
          <cell r="Y74">
            <v>0.995</v>
          </cell>
        </row>
        <row r="75">
          <cell r="O75">
            <v>3.75</v>
          </cell>
          <cell r="Y75">
            <v>3.75</v>
          </cell>
        </row>
        <row r="76">
          <cell r="O76">
            <v>3.2450000000000001</v>
          </cell>
          <cell r="Y76">
            <v>3.75</v>
          </cell>
        </row>
        <row r="77">
          <cell r="O77">
            <v>3.2450000000000001</v>
          </cell>
          <cell r="Y77">
            <v>3.2450000000000001</v>
          </cell>
        </row>
        <row r="78">
          <cell r="O78">
            <v>0.995</v>
          </cell>
          <cell r="Y78">
            <v>3.2450000000000001</v>
          </cell>
        </row>
        <row r="79">
          <cell r="O79">
            <v>3.75</v>
          </cell>
          <cell r="Y79">
            <v>3.75</v>
          </cell>
        </row>
        <row r="80">
          <cell r="O80">
            <v>3.75</v>
          </cell>
          <cell r="Y80">
            <v>0.995</v>
          </cell>
        </row>
        <row r="81">
          <cell r="O81">
            <v>3.75</v>
          </cell>
          <cell r="Y81">
            <v>3.75</v>
          </cell>
        </row>
        <row r="82">
          <cell r="O82">
            <v>3.75</v>
          </cell>
          <cell r="Y82">
            <v>3.2450000000000001</v>
          </cell>
        </row>
        <row r="83">
          <cell r="Y83">
            <v>3.2450000000000001</v>
          </cell>
        </row>
        <row r="84">
          <cell r="Y84">
            <v>2.2450000000000001</v>
          </cell>
        </row>
        <row r="85">
          <cell r="Y85">
            <v>3.2450000000000001</v>
          </cell>
        </row>
        <row r="86">
          <cell r="Y86">
            <v>3.2450000000000001</v>
          </cell>
        </row>
        <row r="87">
          <cell r="Y87">
            <v>3.2450000000000001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6E20-336A-4294-85B7-2AC920BBC828}">
  <dimension ref="A1:AA120"/>
  <sheetViews>
    <sheetView tabSelected="1" topLeftCell="J1" zoomScale="108" zoomScaleNormal="108" workbookViewId="0">
      <selection activeCell="O67" sqref="O67"/>
    </sheetView>
  </sheetViews>
  <sheetFormatPr defaultRowHeight="15" x14ac:dyDescent="0.2"/>
  <cols>
    <col min="1" max="1" width="18.29296875" bestFit="1" customWidth="1"/>
    <col min="2" max="2" width="17.484375" bestFit="1" customWidth="1"/>
    <col min="4" max="4" width="20.4453125" bestFit="1" customWidth="1"/>
    <col min="6" max="6" width="17.21875" bestFit="1" customWidth="1"/>
    <col min="7" max="7" width="12.23828125" bestFit="1" customWidth="1"/>
    <col min="8" max="8" width="21.7890625" bestFit="1" customWidth="1"/>
    <col min="9" max="9" width="18.6953125" bestFit="1" customWidth="1"/>
    <col min="10" max="10" width="22.59765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Q1" s="5" t="s">
        <v>107</v>
      </c>
      <c r="R1" s="6"/>
      <c r="S1" s="6"/>
      <c r="T1" s="6"/>
      <c r="U1" s="6"/>
      <c r="V1" s="6"/>
      <c r="W1" s="6"/>
      <c r="Z1" t="s">
        <v>2</v>
      </c>
      <c r="AA1" t="s">
        <v>109</v>
      </c>
    </row>
    <row r="2" spans="1:27" x14ac:dyDescent="0.2">
      <c r="A2" s="1">
        <v>44050.536111111112</v>
      </c>
      <c r="B2" t="s">
        <v>11</v>
      </c>
      <c r="C2">
        <v>24</v>
      </c>
      <c r="D2" t="s">
        <v>34</v>
      </c>
      <c r="E2" t="s">
        <v>24</v>
      </c>
      <c r="F2" s="2">
        <v>3.2450000000000001</v>
      </c>
      <c r="G2" t="s">
        <v>15</v>
      </c>
      <c r="H2" t="s">
        <v>15</v>
      </c>
      <c r="I2" t="s">
        <v>15</v>
      </c>
      <c r="J2" t="s">
        <v>15</v>
      </c>
      <c r="K2" t="s">
        <v>14</v>
      </c>
      <c r="Q2" s="2"/>
      <c r="Z2">
        <v>24</v>
      </c>
      <c r="AA2" s="2">
        <v>3.2450000000000001</v>
      </c>
    </row>
    <row r="3" spans="1:27" x14ac:dyDescent="0.2">
      <c r="A3" s="1">
        <v>44050.546527777777</v>
      </c>
      <c r="B3" t="s">
        <v>11</v>
      </c>
      <c r="C3">
        <v>18</v>
      </c>
      <c r="D3" t="s">
        <v>35</v>
      </c>
      <c r="E3" t="s">
        <v>18</v>
      </c>
      <c r="F3" s="2">
        <v>3.75</v>
      </c>
      <c r="G3" t="s">
        <v>15</v>
      </c>
      <c r="H3" t="s">
        <v>15</v>
      </c>
      <c r="I3" t="s">
        <v>15</v>
      </c>
      <c r="J3" t="s">
        <v>15</v>
      </c>
      <c r="K3" t="s">
        <v>14</v>
      </c>
      <c r="Q3" s="2"/>
      <c r="Z3">
        <v>18</v>
      </c>
      <c r="AA3" s="2">
        <v>3.75</v>
      </c>
    </row>
    <row r="4" spans="1:27" x14ac:dyDescent="0.2">
      <c r="A4" s="1">
        <v>44050.581944444442</v>
      </c>
      <c r="B4" t="s">
        <v>11</v>
      </c>
      <c r="C4">
        <v>24</v>
      </c>
      <c r="D4" t="s">
        <v>19</v>
      </c>
      <c r="E4" t="s">
        <v>31</v>
      </c>
      <c r="F4" s="2">
        <v>3.75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Q4" s="2"/>
      <c r="Z4">
        <v>24</v>
      </c>
      <c r="AA4" s="2">
        <v>3.75</v>
      </c>
    </row>
    <row r="5" spans="1:27" x14ac:dyDescent="0.2">
      <c r="A5" s="1">
        <v>44050.658333333333</v>
      </c>
      <c r="B5" t="s">
        <v>11</v>
      </c>
      <c r="C5">
        <v>20</v>
      </c>
      <c r="D5" t="s">
        <v>46</v>
      </c>
      <c r="E5" t="s">
        <v>22</v>
      </c>
      <c r="F5" s="2">
        <v>3.2450000000000001</v>
      </c>
      <c r="G5" t="s">
        <v>15</v>
      </c>
      <c r="H5" t="s">
        <v>15</v>
      </c>
      <c r="I5" t="s">
        <v>15</v>
      </c>
      <c r="J5" t="s">
        <v>15</v>
      </c>
      <c r="K5" t="s">
        <v>14</v>
      </c>
      <c r="Q5" s="2"/>
      <c r="Z5">
        <v>20</v>
      </c>
      <c r="AA5" s="2">
        <v>3.2450000000000001</v>
      </c>
    </row>
    <row r="6" spans="1:27" x14ac:dyDescent="0.2">
      <c r="A6" t="s">
        <v>61</v>
      </c>
      <c r="B6" t="s">
        <v>11</v>
      </c>
      <c r="C6">
        <v>24</v>
      </c>
      <c r="D6" t="s">
        <v>62</v>
      </c>
      <c r="E6" t="s">
        <v>25</v>
      </c>
      <c r="F6" s="2">
        <v>3.75</v>
      </c>
      <c r="G6" t="s">
        <v>15</v>
      </c>
      <c r="H6" t="s">
        <v>15</v>
      </c>
      <c r="I6" t="s">
        <v>15</v>
      </c>
      <c r="J6" t="s">
        <v>15</v>
      </c>
      <c r="K6" t="s">
        <v>14</v>
      </c>
      <c r="Q6" s="2"/>
      <c r="Z6">
        <v>24</v>
      </c>
      <c r="AA6" s="2">
        <v>3.75</v>
      </c>
    </row>
    <row r="7" spans="1:27" x14ac:dyDescent="0.2">
      <c r="A7" s="1">
        <v>44050.570138888892</v>
      </c>
      <c r="B7" t="s">
        <v>16</v>
      </c>
      <c r="C7">
        <v>18</v>
      </c>
      <c r="D7" t="s">
        <v>12</v>
      </c>
      <c r="E7" t="s">
        <v>25</v>
      </c>
      <c r="F7" s="2">
        <v>3.2450000000000001</v>
      </c>
      <c r="G7" t="s">
        <v>15</v>
      </c>
      <c r="H7" t="s">
        <v>15</v>
      </c>
      <c r="I7" t="s">
        <v>15</v>
      </c>
      <c r="J7" t="s">
        <v>14</v>
      </c>
      <c r="K7" t="s">
        <v>14</v>
      </c>
      <c r="Q7" s="2"/>
      <c r="Z7">
        <v>18</v>
      </c>
      <c r="AA7" s="2">
        <v>3.2450000000000001</v>
      </c>
    </row>
    <row r="8" spans="1:27" x14ac:dyDescent="0.2">
      <c r="A8" s="1">
        <v>44050.604861111111</v>
      </c>
      <c r="B8" t="s">
        <v>16</v>
      </c>
      <c r="C8">
        <v>18</v>
      </c>
      <c r="D8" t="s">
        <v>27</v>
      </c>
      <c r="E8" t="s">
        <v>25</v>
      </c>
      <c r="F8" s="2">
        <v>3.75</v>
      </c>
      <c r="G8" t="s">
        <v>15</v>
      </c>
      <c r="H8" t="s">
        <v>15</v>
      </c>
      <c r="I8" t="s">
        <v>15</v>
      </c>
      <c r="J8" t="s">
        <v>14</v>
      </c>
      <c r="K8" t="s">
        <v>15</v>
      </c>
      <c r="Q8" s="2"/>
      <c r="Z8">
        <v>18</v>
      </c>
      <c r="AA8" s="2">
        <v>3.75</v>
      </c>
    </row>
    <row r="9" spans="1:27" x14ac:dyDescent="0.2">
      <c r="A9" s="1">
        <v>44050.553472222222</v>
      </c>
      <c r="B9" t="s">
        <v>11</v>
      </c>
      <c r="C9">
        <v>23</v>
      </c>
      <c r="D9" t="s">
        <v>27</v>
      </c>
      <c r="E9" t="s">
        <v>31</v>
      </c>
      <c r="F9" s="2">
        <v>3.75</v>
      </c>
      <c r="G9" t="s">
        <v>14</v>
      </c>
      <c r="H9" t="s">
        <v>15</v>
      </c>
      <c r="I9" t="s">
        <v>15</v>
      </c>
      <c r="J9" t="s">
        <v>15</v>
      </c>
      <c r="K9" t="s">
        <v>14</v>
      </c>
      <c r="Q9" s="2"/>
      <c r="Z9">
        <v>23</v>
      </c>
      <c r="AA9" s="2">
        <v>3.75</v>
      </c>
    </row>
    <row r="10" spans="1:27" x14ac:dyDescent="0.2">
      <c r="A10" s="1">
        <v>44050.611805555556</v>
      </c>
      <c r="B10" t="s">
        <v>11</v>
      </c>
      <c r="C10">
        <v>19</v>
      </c>
      <c r="D10" t="s">
        <v>19</v>
      </c>
      <c r="E10" t="s">
        <v>13</v>
      </c>
      <c r="F10" s="2">
        <v>3.2450000000000001</v>
      </c>
      <c r="G10" t="s">
        <v>14</v>
      </c>
      <c r="H10" t="s">
        <v>15</v>
      </c>
      <c r="I10" t="s">
        <v>15</v>
      </c>
      <c r="J10" t="s">
        <v>15</v>
      </c>
      <c r="K10" t="s">
        <v>14</v>
      </c>
      <c r="Q10" s="2"/>
      <c r="Z10">
        <v>19</v>
      </c>
      <c r="AA10" s="2">
        <v>3.2450000000000001</v>
      </c>
    </row>
    <row r="11" spans="1:27" x14ac:dyDescent="0.2">
      <c r="A11" s="1">
        <v>44050.613194444442</v>
      </c>
      <c r="B11" t="s">
        <v>11</v>
      </c>
      <c r="C11">
        <v>18</v>
      </c>
      <c r="D11" t="s">
        <v>39</v>
      </c>
      <c r="E11" t="s">
        <v>31</v>
      </c>
      <c r="F11" s="2">
        <v>3.2450000000000001</v>
      </c>
      <c r="G11" t="s">
        <v>14</v>
      </c>
      <c r="H11" t="s">
        <v>15</v>
      </c>
      <c r="I11" t="s">
        <v>15</v>
      </c>
      <c r="J11" t="s">
        <v>14</v>
      </c>
      <c r="K11" t="s">
        <v>14</v>
      </c>
      <c r="Q11" s="2"/>
      <c r="Z11">
        <v>18</v>
      </c>
      <c r="AA11" s="2">
        <v>3.2450000000000001</v>
      </c>
    </row>
    <row r="12" spans="1:27" x14ac:dyDescent="0.2">
      <c r="A12" s="1">
        <v>44050.614583333336</v>
      </c>
      <c r="B12" t="s">
        <v>11</v>
      </c>
      <c r="C12">
        <v>19</v>
      </c>
      <c r="D12" t="s">
        <v>19</v>
      </c>
      <c r="E12" t="s">
        <v>13</v>
      </c>
      <c r="F12" s="2">
        <v>2.7450000000000001</v>
      </c>
      <c r="G12" t="s">
        <v>14</v>
      </c>
      <c r="H12" t="s">
        <v>15</v>
      </c>
      <c r="I12" t="s">
        <v>15</v>
      </c>
      <c r="J12" t="s">
        <v>15</v>
      </c>
      <c r="K12" t="s">
        <v>14</v>
      </c>
      <c r="Q12" s="2"/>
      <c r="Z12">
        <v>19</v>
      </c>
      <c r="AA12" s="2">
        <v>2.7450000000000001</v>
      </c>
    </row>
    <row r="13" spans="1:27" x14ac:dyDescent="0.2">
      <c r="A13" s="1">
        <v>44050.681250000001</v>
      </c>
      <c r="B13" t="s">
        <v>11</v>
      </c>
      <c r="C13">
        <v>20</v>
      </c>
      <c r="D13" t="s">
        <v>48</v>
      </c>
      <c r="E13" t="s">
        <v>31</v>
      </c>
      <c r="F13" s="2">
        <v>3.2450000000000001</v>
      </c>
      <c r="G13" t="s">
        <v>14</v>
      </c>
      <c r="H13" t="s">
        <v>15</v>
      </c>
      <c r="I13" t="s">
        <v>15</v>
      </c>
      <c r="J13" t="s">
        <v>14</v>
      </c>
      <c r="K13" t="s">
        <v>14</v>
      </c>
      <c r="Q13" s="2"/>
      <c r="Z13">
        <v>20</v>
      </c>
      <c r="AA13" s="2">
        <v>3.2450000000000001</v>
      </c>
    </row>
    <row r="14" spans="1:27" x14ac:dyDescent="0.2">
      <c r="A14" s="1">
        <v>44050.743055555555</v>
      </c>
      <c r="B14" t="s">
        <v>11</v>
      </c>
      <c r="C14">
        <v>23</v>
      </c>
      <c r="D14" t="s">
        <v>53</v>
      </c>
      <c r="E14" t="s">
        <v>13</v>
      </c>
      <c r="F14" s="2">
        <v>3.75</v>
      </c>
      <c r="G14" t="s">
        <v>14</v>
      </c>
      <c r="H14" t="s">
        <v>15</v>
      </c>
      <c r="I14" t="s">
        <v>15</v>
      </c>
      <c r="J14" t="s">
        <v>14</v>
      </c>
      <c r="K14" t="s">
        <v>14</v>
      </c>
      <c r="Q14" s="2"/>
      <c r="Z14">
        <v>23</v>
      </c>
      <c r="AA14" s="2">
        <v>3.75</v>
      </c>
    </row>
    <row r="15" spans="1:27" x14ac:dyDescent="0.2">
      <c r="A15" t="s">
        <v>65</v>
      </c>
      <c r="B15" t="s">
        <v>11</v>
      </c>
      <c r="C15">
        <v>19</v>
      </c>
      <c r="D15" t="s">
        <v>12</v>
      </c>
      <c r="E15" t="s">
        <v>13</v>
      </c>
      <c r="F15" s="2">
        <v>3.2450000000000001</v>
      </c>
      <c r="G15" t="s">
        <v>14</v>
      </c>
      <c r="H15" t="s">
        <v>15</v>
      </c>
      <c r="I15" t="s">
        <v>15</v>
      </c>
      <c r="J15" t="s">
        <v>14</v>
      </c>
      <c r="K15" t="s">
        <v>14</v>
      </c>
      <c r="Q15" s="2"/>
      <c r="Z15">
        <v>19</v>
      </c>
      <c r="AA15" s="2">
        <v>3.2450000000000001</v>
      </c>
    </row>
    <row r="16" spans="1:27" x14ac:dyDescent="0.2">
      <c r="A16" t="s">
        <v>70</v>
      </c>
      <c r="B16" t="s">
        <v>11</v>
      </c>
      <c r="C16">
        <v>18</v>
      </c>
      <c r="D16" t="s">
        <v>71</v>
      </c>
      <c r="E16" t="s">
        <v>13</v>
      </c>
      <c r="F16" s="2">
        <v>3.75</v>
      </c>
      <c r="G16" t="s">
        <v>14</v>
      </c>
      <c r="H16" t="s">
        <v>15</v>
      </c>
      <c r="I16" t="s">
        <v>15</v>
      </c>
      <c r="J16" t="s">
        <v>14</v>
      </c>
      <c r="K16" t="s">
        <v>15</v>
      </c>
      <c r="Q16" s="2"/>
      <c r="Z16">
        <v>18</v>
      </c>
      <c r="AA16" s="2">
        <v>3.75</v>
      </c>
    </row>
    <row r="17" spans="1:27" x14ac:dyDescent="0.2">
      <c r="A17" t="s">
        <v>74</v>
      </c>
      <c r="B17" t="s">
        <v>11</v>
      </c>
      <c r="C17">
        <v>18</v>
      </c>
      <c r="D17" t="s">
        <v>71</v>
      </c>
      <c r="E17" t="s">
        <v>13</v>
      </c>
      <c r="F17" s="2">
        <v>3.75</v>
      </c>
      <c r="G17" t="s">
        <v>14</v>
      </c>
      <c r="H17" t="s">
        <v>15</v>
      </c>
      <c r="I17" t="s">
        <v>15</v>
      </c>
      <c r="J17" t="s">
        <v>15</v>
      </c>
      <c r="K17" t="s">
        <v>14</v>
      </c>
      <c r="Q17" s="2"/>
      <c r="Z17">
        <v>18</v>
      </c>
      <c r="AA17" s="2">
        <v>3.75</v>
      </c>
    </row>
    <row r="18" spans="1:27" x14ac:dyDescent="0.2">
      <c r="A18" s="1">
        <v>44050.503472222219</v>
      </c>
      <c r="B18" t="s">
        <v>16</v>
      </c>
      <c r="C18">
        <v>19</v>
      </c>
      <c r="D18" t="s">
        <v>19</v>
      </c>
      <c r="E18" t="s">
        <v>20</v>
      </c>
      <c r="F18" s="2">
        <v>3.2450000000000001</v>
      </c>
      <c r="G18" t="s">
        <v>14</v>
      </c>
      <c r="H18" t="s">
        <v>15</v>
      </c>
      <c r="I18" t="s">
        <v>15</v>
      </c>
      <c r="J18" t="s">
        <v>15</v>
      </c>
      <c r="K18" t="s">
        <v>14</v>
      </c>
      <c r="Q18" s="2"/>
      <c r="Z18">
        <v>19</v>
      </c>
      <c r="AA18" s="2">
        <v>3.2450000000000001</v>
      </c>
    </row>
    <row r="19" spans="1:27" x14ac:dyDescent="0.2">
      <c r="A19" t="s">
        <v>88</v>
      </c>
      <c r="B19" t="s">
        <v>16</v>
      </c>
      <c r="C19">
        <v>18</v>
      </c>
      <c r="D19" t="s">
        <v>12</v>
      </c>
      <c r="E19" t="s">
        <v>25</v>
      </c>
      <c r="F19" s="2">
        <v>3.2450000000000001</v>
      </c>
      <c r="G19" t="s">
        <v>14</v>
      </c>
      <c r="H19" t="s">
        <v>15</v>
      </c>
      <c r="I19" t="s">
        <v>15</v>
      </c>
      <c r="J19" t="s">
        <v>14</v>
      </c>
      <c r="K19" t="s">
        <v>14</v>
      </c>
      <c r="Q19" s="2"/>
      <c r="Z19">
        <v>18</v>
      </c>
      <c r="AA19" s="2">
        <v>3.2450000000000001</v>
      </c>
    </row>
    <row r="20" spans="1:27" x14ac:dyDescent="0.2">
      <c r="A20" s="1">
        <v>44050.522916666669</v>
      </c>
      <c r="B20" t="s">
        <v>11</v>
      </c>
      <c r="C20">
        <v>18</v>
      </c>
      <c r="D20" t="s">
        <v>27</v>
      </c>
      <c r="E20" t="s">
        <v>13</v>
      </c>
      <c r="F20" s="2">
        <v>3.75</v>
      </c>
      <c r="G20" t="s">
        <v>14</v>
      </c>
      <c r="H20" t="s">
        <v>14</v>
      </c>
      <c r="I20" t="s">
        <v>15</v>
      </c>
      <c r="J20" t="s">
        <v>14</v>
      </c>
      <c r="K20" t="s">
        <v>14</v>
      </c>
      <c r="Q20" s="2"/>
      <c r="Z20">
        <v>18</v>
      </c>
      <c r="AA20" s="2">
        <v>3.75</v>
      </c>
    </row>
    <row r="21" spans="1:27" x14ac:dyDescent="0.2">
      <c r="A21" s="1">
        <v>44050.529861111114</v>
      </c>
      <c r="B21" t="s">
        <v>11</v>
      </c>
      <c r="C21">
        <v>18</v>
      </c>
      <c r="D21" t="s">
        <v>32</v>
      </c>
      <c r="E21" t="s">
        <v>25</v>
      </c>
      <c r="F21" s="2">
        <v>3.75</v>
      </c>
      <c r="G21" t="s">
        <v>14</v>
      </c>
      <c r="H21" t="s">
        <v>14</v>
      </c>
      <c r="I21" t="s">
        <v>15</v>
      </c>
      <c r="J21" t="s">
        <v>14</v>
      </c>
      <c r="K21" t="s">
        <v>14</v>
      </c>
      <c r="Q21" s="2"/>
      <c r="Z21">
        <v>18</v>
      </c>
      <c r="AA21" s="2">
        <v>3.75</v>
      </c>
    </row>
    <row r="22" spans="1:27" x14ac:dyDescent="0.2">
      <c r="A22" s="1">
        <v>44050.545138888891</v>
      </c>
      <c r="B22" t="s">
        <v>11</v>
      </c>
      <c r="C22">
        <v>20</v>
      </c>
      <c r="D22" t="s">
        <v>19</v>
      </c>
      <c r="E22" t="s">
        <v>25</v>
      </c>
      <c r="F22" s="2">
        <v>3.75</v>
      </c>
      <c r="G22" t="s">
        <v>14</v>
      </c>
      <c r="H22" t="s">
        <v>14</v>
      </c>
      <c r="I22" t="s">
        <v>15</v>
      </c>
      <c r="J22" t="s">
        <v>14</v>
      </c>
      <c r="K22" t="s">
        <v>14</v>
      </c>
      <c r="Q22" s="2"/>
      <c r="Z22">
        <v>20</v>
      </c>
      <c r="AA22" s="2">
        <v>3.75</v>
      </c>
    </row>
    <row r="23" spans="1:27" x14ac:dyDescent="0.2">
      <c r="A23" s="1">
        <v>44050.622916666667</v>
      </c>
      <c r="B23" t="s">
        <v>11</v>
      </c>
      <c r="C23">
        <v>24</v>
      </c>
      <c r="D23" t="s">
        <v>19</v>
      </c>
      <c r="E23" t="s">
        <v>31</v>
      </c>
      <c r="F23" s="2">
        <v>3.2450000000000001</v>
      </c>
      <c r="G23" t="s">
        <v>14</v>
      </c>
      <c r="H23" t="s">
        <v>14</v>
      </c>
      <c r="I23" t="s">
        <v>15</v>
      </c>
      <c r="J23" t="s">
        <v>14</v>
      </c>
      <c r="K23" t="s">
        <v>14</v>
      </c>
      <c r="Q23" s="2"/>
      <c r="Z23">
        <v>24</v>
      </c>
      <c r="AA23" s="2">
        <v>3.2450000000000001</v>
      </c>
    </row>
    <row r="24" spans="1:27" x14ac:dyDescent="0.2">
      <c r="A24" s="1">
        <v>44050.633333333331</v>
      </c>
      <c r="B24" t="s">
        <v>11</v>
      </c>
      <c r="C24">
        <v>19</v>
      </c>
      <c r="D24" t="s">
        <v>12</v>
      </c>
      <c r="E24" t="s">
        <v>13</v>
      </c>
      <c r="F24" s="2">
        <v>3.75</v>
      </c>
      <c r="G24" t="s">
        <v>14</v>
      </c>
      <c r="H24" t="s">
        <v>14</v>
      </c>
      <c r="I24" t="s">
        <v>15</v>
      </c>
      <c r="J24" t="s">
        <v>14</v>
      </c>
      <c r="K24" t="s">
        <v>14</v>
      </c>
      <c r="Q24" s="2"/>
      <c r="Z24">
        <v>19</v>
      </c>
      <c r="AA24" s="2">
        <v>3.75</v>
      </c>
    </row>
    <row r="25" spans="1:27" x14ac:dyDescent="0.2">
      <c r="A25" s="1">
        <v>44050.650694444441</v>
      </c>
      <c r="B25" t="s">
        <v>11</v>
      </c>
      <c r="C25">
        <v>18</v>
      </c>
      <c r="D25" t="s">
        <v>27</v>
      </c>
      <c r="E25" t="s">
        <v>18</v>
      </c>
      <c r="F25" s="2">
        <v>3.75</v>
      </c>
      <c r="G25" t="s">
        <v>14</v>
      </c>
      <c r="H25" t="s">
        <v>14</v>
      </c>
      <c r="I25" t="s">
        <v>15</v>
      </c>
      <c r="J25" t="s">
        <v>14</v>
      </c>
      <c r="K25" t="s">
        <v>14</v>
      </c>
      <c r="Q25" s="2"/>
      <c r="Z25">
        <v>18</v>
      </c>
      <c r="AA25" s="2">
        <v>3.75</v>
      </c>
    </row>
    <row r="26" spans="1:27" x14ac:dyDescent="0.2">
      <c r="A26" s="1">
        <v>44050.756944444445</v>
      </c>
      <c r="B26" t="s">
        <v>11</v>
      </c>
      <c r="C26">
        <v>18</v>
      </c>
      <c r="D26" t="s">
        <v>36</v>
      </c>
      <c r="E26" t="s">
        <v>31</v>
      </c>
      <c r="F26" s="2">
        <v>3.2450000000000001</v>
      </c>
      <c r="G26" t="s">
        <v>14</v>
      </c>
      <c r="H26" t="s">
        <v>14</v>
      </c>
      <c r="I26" t="s">
        <v>15</v>
      </c>
      <c r="J26" t="s">
        <v>14</v>
      </c>
      <c r="K26" t="s">
        <v>14</v>
      </c>
      <c r="Q26" s="2"/>
      <c r="Z26">
        <v>18</v>
      </c>
      <c r="AA26" s="2">
        <v>3.2450000000000001</v>
      </c>
    </row>
    <row r="27" spans="1:27" x14ac:dyDescent="0.2">
      <c r="A27" s="1">
        <v>44050.813888888886</v>
      </c>
      <c r="B27" t="s">
        <v>11</v>
      </c>
      <c r="C27">
        <v>24</v>
      </c>
      <c r="D27" t="s">
        <v>56</v>
      </c>
      <c r="E27" t="s">
        <v>24</v>
      </c>
      <c r="F27" s="2">
        <v>3.2450000000000001</v>
      </c>
      <c r="G27" t="s">
        <v>14</v>
      </c>
      <c r="H27" t="s">
        <v>14</v>
      </c>
      <c r="I27" t="s">
        <v>15</v>
      </c>
      <c r="J27" t="s">
        <v>14</v>
      </c>
      <c r="K27" t="s">
        <v>14</v>
      </c>
      <c r="Q27" s="2"/>
      <c r="Z27">
        <v>24</v>
      </c>
      <c r="AA27" s="2">
        <v>3.2450000000000001</v>
      </c>
    </row>
    <row r="28" spans="1:27" x14ac:dyDescent="0.2">
      <c r="A28" s="1">
        <v>44081.497916666667</v>
      </c>
      <c r="B28" t="s">
        <v>11</v>
      </c>
      <c r="C28">
        <v>24</v>
      </c>
      <c r="D28" t="s">
        <v>36</v>
      </c>
      <c r="E28" t="s">
        <v>13</v>
      </c>
      <c r="F28" s="2">
        <v>3.75</v>
      </c>
      <c r="G28" t="s">
        <v>14</v>
      </c>
      <c r="H28" t="s">
        <v>14</v>
      </c>
      <c r="I28" t="s">
        <v>15</v>
      </c>
      <c r="J28" t="s">
        <v>15</v>
      </c>
      <c r="K28" t="s">
        <v>14</v>
      </c>
      <c r="Q28" s="2"/>
      <c r="Z28">
        <v>24</v>
      </c>
      <c r="AA28" s="2">
        <v>3.75</v>
      </c>
    </row>
    <row r="29" spans="1:27" x14ac:dyDescent="0.2">
      <c r="A29" t="s">
        <v>87</v>
      </c>
      <c r="B29" t="s">
        <v>11</v>
      </c>
      <c r="C29">
        <v>21</v>
      </c>
      <c r="D29" t="s">
        <v>27</v>
      </c>
      <c r="E29" t="s">
        <v>13</v>
      </c>
      <c r="F29" s="2">
        <v>3.75</v>
      </c>
      <c r="G29" t="s">
        <v>14</v>
      </c>
      <c r="H29" t="s">
        <v>14</v>
      </c>
      <c r="I29" t="s">
        <v>15</v>
      </c>
      <c r="J29" t="s">
        <v>14</v>
      </c>
      <c r="K29" t="s">
        <v>14</v>
      </c>
      <c r="Q29" s="2"/>
      <c r="Z29">
        <v>21</v>
      </c>
      <c r="AA29" s="2">
        <v>3.75</v>
      </c>
    </row>
    <row r="30" spans="1:27" x14ac:dyDescent="0.2">
      <c r="A30" s="1">
        <v>44050.50277777778</v>
      </c>
      <c r="B30" t="s">
        <v>16</v>
      </c>
      <c r="C30">
        <v>21</v>
      </c>
      <c r="D30" t="s">
        <v>17</v>
      </c>
      <c r="E30" t="s">
        <v>18</v>
      </c>
      <c r="F30" s="2">
        <v>3.2450000000000001</v>
      </c>
      <c r="G30" t="s">
        <v>14</v>
      </c>
      <c r="H30" t="s">
        <v>14</v>
      </c>
      <c r="I30" t="s">
        <v>15</v>
      </c>
      <c r="J30" t="s">
        <v>14</v>
      </c>
      <c r="K30" t="s">
        <v>14</v>
      </c>
      <c r="Q30" s="2"/>
      <c r="Z30">
        <v>21</v>
      </c>
      <c r="AA30" s="2">
        <v>3.2450000000000001</v>
      </c>
    </row>
    <row r="31" spans="1:27" x14ac:dyDescent="0.2">
      <c r="A31" s="1">
        <v>44050.527083333334</v>
      </c>
      <c r="B31" t="s">
        <v>16</v>
      </c>
      <c r="C31">
        <v>18</v>
      </c>
      <c r="D31" t="s">
        <v>29</v>
      </c>
      <c r="E31" t="s">
        <v>13</v>
      </c>
      <c r="F31" s="2">
        <v>3.75</v>
      </c>
      <c r="G31" t="s">
        <v>14</v>
      </c>
      <c r="H31" t="s">
        <v>14</v>
      </c>
      <c r="I31" t="s">
        <v>15</v>
      </c>
      <c r="J31" t="s">
        <v>15</v>
      </c>
      <c r="K31" t="s">
        <v>14</v>
      </c>
      <c r="Q31" s="2"/>
      <c r="Z31">
        <v>18</v>
      </c>
      <c r="AA31" s="2">
        <v>3.75</v>
      </c>
    </row>
    <row r="32" spans="1:27" x14ac:dyDescent="0.2">
      <c r="A32" s="1">
        <v>44050.631249999999</v>
      </c>
      <c r="B32" t="s">
        <v>16</v>
      </c>
      <c r="C32">
        <v>18</v>
      </c>
      <c r="D32" t="s">
        <v>27</v>
      </c>
      <c r="E32" t="s">
        <v>13</v>
      </c>
      <c r="F32" s="2">
        <v>3.75</v>
      </c>
      <c r="G32" t="s">
        <v>14</v>
      </c>
      <c r="H32" t="s">
        <v>14</v>
      </c>
      <c r="I32" t="s">
        <v>15</v>
      </c>
      <c r="J32" t="s">
        <v>15</v>
      </c>
      <c r="K32" t="s">
        <v>14</v>
      </c>
      <c r="Q32" s="2"/>
      <c r="Z32">
        <v>18</v>
      </c>
      <c r="AA32" s="2">
        <v>3.75</v>
      </c>
    </row>
    <row r="33" spans="1:27" x14ac:dyDescent="0.2">
      <c r="A33" s="1">
        <v>44081.488194444442</v>
      </c>
      <c r="B33" t="s">
        <v>16</v>
      </c>
      <c r="C33">
        <v>24</v>
      </c>
      <c r="D33" t="s">
        <v>19</v>
      </c>
      <c r="E33" t="s">
        <v>31</v>
      </c>
      <c r="F33" s="2">
        <v>3.75</v>
      </c>
      <c r="G33" t="s">
        <v>14</v>
      </c>
      <c r="H33" t="s">
        <v>14</v>
      </c>
      <c r="I33" t="s">
        <v>15</v>
      </c>
      <c r="J33" t="s">
        <v>14</v>
      </c>
      <c r="K33" t="s">
        <v>14</v>
      </c>
      <c r="Q33" s="2"/>
      <c r="Z33">
        <v>24</v>
      </c>
      <c r="AA33" s="2">
        <v>3.75</v>
      </c>
    </row>
    <row r="34" spans="1:27" x14ac:dyDescent="0.2">
      <c r="A34" t="s">
        <v>75</v>
      </c>
      <c r="B34" t="s">
        <v>16</v>
      </c>
      <c r="C34">
        <v>24</v>
      </c>
      <c r="D34" t="s">
        <v>19</v>
      </c>
      <c r="E34" t="s">
        <v>13</v>
      </c>
      <c r="F34" s="2">
        <v>3.2450000000000001</v>
      </c>
      <c r="G34" t="s">
        <v>14</v>
      </c>
      <c r="H34" t="s">
        <v>14</v>
      </c>
      <c r="I34" t="s">
        <v>15</v>
      </c>
      <c r="J34" t="s">
        <v>14</v>
      </c>
      <c r="K34" t="s">
        <v>14</v>
      </c>
      <c r="Q34" s="2"/>
      <c r="Z34">
        <v>24</v>
      </c>
      <c r="AA34" s="2">
        <v>3.2450000000000001</v>
      </c>
    </row>
    <row r="35" spans="1:27" x14ac:dyDescent="0.2">
      <c r="A35" t="s">
        <v>79</v>
      </c>
      <c r="B35" t="s">
        <v>16</v>
      </c>
      <c r="C35">
        <v>18</v>
      </c>
      <c r="D35" t="s">
        <v>80</v>
      </c>
      <c r="E35" t="s">
        <v>25</v>
      </c>
      <c r="F35" s="2">
        <v>3.2450000000000001</v>
      </c>
      <c r="G35" t="s">
        <v>14</v>
      </c>
      <c r="H35" t="s">
        <v>14</v>
      </c>
      <c r="I35" t="s">
        <v>15</v>
      </c>
      <c r="J35" t="s">
        <v>14</v>
      </c>
      <c r="K35" t="s">
        <v>14</v>
      </c>
      <c r="Q35" s="2"/>
      <c r="Z35">
        <v>18</v>
      </c>
      <c r="AA35" s="2">
        <v>3.2450000000000001</v>
      </c>
    </row>
    <row r="36" spans="1:27" x14ac:dyDescent="0.2">
      <c r="A36" s="1">
        <v>44050.504166666666</v>
      </c>
      <c r="B36" t="s">
        <v>11</v>
      </c>
      <c r="C36">
        <v>22</v>
      </c>
      <c r="D36" t="s">
        <v>21</v>
      </c>
      <c r="E36" t="s">
        <v>22</v>
      </c>
      <c r="F36" s="2">
        <v>3.2450000000000001</v>
      </c>
      <c r="G36" t="s">
        <v>15</v>
      </c>
      <c r="H36" t="s">
        <v>15</v>
      </c>
      <c r="I36" t="s">
        <v>14</v>
      </c>
      <c r="J36" t="s">
        <v>14</v>
      </c>
      <c r="K36" t="s">
        <v>14</v>
      </c>
      <c r="Q36" s="2"/>
      <c r="Z36">
        <v>22</v>
      </c>
      <c r="AA36" s="2">
        <v>3.2450000000000001</v>
      </c>
    </row>
    <row r="37" spans="1:27" x14ac:dyDescent="0.2">
      <c r="A37" s="1">
        <v>44050.522222222222</v>
      </c>
      <c r="B37" t="s">
        <v>11</v>
      </c>
      <c r="C37">
        <v>23</v>
      </c>
      <c r="D37" t="s">
        <v>26</v>
      </c>
      <c r="E37" t="s">
        <v>18</v>
      </c>
      <c r="F37" s="2">
        <v>3.75</v>
      </c>
      <c r="G37" t="s">
        <v>15</v>
      </c>
      <c r="H37" t="s">
        <v>15</v>
      </c>
      <c r="I37" t="s">
        <v>14</v>
      </c>
      <c r="J37" t="s">
        <v>15</v>
      </c>
      <c r="K37" t="s">
        <v>14</v>
      </c>
      <c r="Q37" s="2"/>
      <c r="Z37">
        <v>23</v>
      </c>
      <c r="AA37" s="2">
        <v>3.75</v>
      </c>
    </row>
    <row r="38" spans="1:27" x14ac:dyDescent="0.2">
      <c r="A38" s="1">
        <v>44050.527083333334</v>
      </c>
      <c r="B38" t="s">
        <v>11</v>
      </c>
      <c r="C38">
        <v>24</v>
      </c>
      <c r="D38" t="s">
        <v>12</v>
      </c>
      <c r="E38" t="s">
        <v>31</v>
      </c>
      <c r="F38" s="2">
        <v>3.75</v>
      </c>
      <c r="G38" t="s">
        <v>15</v>
      </c>
      <c r="H38" t="s">
        <v>15</v>
      </c>
      <c r="I38" t="s">
        <v>14</v>
      </c>
      <c r="J38" t="s">
        <v>14</v>
      </c>
      <c r="K38" t="s">
        <v>14</v>
      </c>
      <c r="Q38" s="2"/>
      <c r="Z38">
        <v>24</v>
      </c>
      <c r="AA38" s="2">
        <v>3.75</v>
      </c>
    </row>
    <row r="39" spans="1:27" x14ac:dyDescent="0.2">
      <c r="A39" s="1">
        <v>44050.62222222222</v>
      </c>
      <c r="B39" t="s">
        <v>11</v>
      </c>
      <c r="C39">
        <v>24</v>
      </c>
      <c r="D39" t="s">
        <v>12</v>
      </c>
      <c r="E39" t="s">
        <v>25</v>
      </c>
      <c r="F39" s="2">
        <v>2.7450000000000001</v>
      </c>
      <c r="G39" t="s">
        <v>15</v>
      </c>
      <c r="H39" t="s">
        <v>15</v>
      </c>
      <c r="I39" t="s">
        <v>14</v>
      </c>
      <c r="J39" t="s">
        <v>15</v>
      </c>
      <c r="K39" t="s">
        <v>15</v>
      </c>
      <c r="Q39" s="2"/>
      <c r="Z39">
        <v>24</v>
      </c>
      <c r="AA39" s="2">
        <v>2.7450000000000001</v>
      </c>
    </row>
    <row r="40" spans="1:27" x14ac:dyDescent="0.2">
      <c r="A40" s="1">
        <v>44050.643750000003</v>
      </c>
      <c r="B40" t="s">
        <v>11</v>
      </c>
      <c r="C40">
        <v>23</v>
      </c>
      <c r="D40" t="s">
        <v>44</v>
      </c>
      <c r="E40" t="s">
        <v>13</v>
      </c>
      <c r="F40" s="2">
        <v>2.7450000000000001</v>
      </c>
      <c r="G40" t="s">
        <v>15</v>
      </c>
      <c r="H40" t="s">
        <v>15</v>
      </c>
      <c r="I40" t="s">
        <v>14</v>
      </c>
      <c r="J40" t="s">
        <v>15</v>
      </c>
      <c r="K40" t="s">
        <v>15</v>
      </c>
      <c r="Q40" s="2"/>
      <c r="Z40">
        <v>23</v>
      </c>
      <c r="AA40" s="2">
        <v>2.7450000000000001</v>
      </c>
    </row>
    <row r="41" spans="1:27" x14ac:dyDescent="0.2">
      <c r="A41" s="1">
        <v>44050.940972222219</v>
      </c>
      <c r="B41" t="s">
        <v>11</v>
      </c>
      <c r="C41">
        <v>19</v>
      </c>
      <c r="D41" t="s">
        <v>19</v>
      </c>
      <c r="E41" t="s">
        <v>31</v>
      </c>
      <c r="F41" s="2">
        <v>3.2450000000000001</v>
      </c>
      <c r="G41" t="s">
        <v>15</v>
      </c>
      <c r="H41" t="s">
        <v>15</v>
      </c>
      <c r="I41" t="s">
        <v>14</v>
      </c>
      <c r="J41" t="s">
        <v>14</v>
      </c>
      <c r="K41" t="s">
        <v>14</v>
      </c>
      <c r="Q41" s="2"/>
      <c r="Z41">
        <v>19</v>
      </c>
      <c r="AA41" s="2">
        <v>3.2450000000000001</v>
      </c>
    </row>
    <row r="42" spans="1:27" x14ac:dyDescent="0.2">
      <c r="A42" t="s">
        <v>81</v>
      </c>
      <c r="B42" t="s">
        <v>11</v>
      </c>
      <c r="C42">
        <v>19</v>
      </c>
      <c r="D42" t="s">
        <v>36</v>
      </c>
      <c r="E42" t="s">
        <v>18</v>
      </c>
      <c r="F42" s="2">
        <v>3.2450000000000001</v>
      </c>
      <c r="G42" t="s">
        <v>15</v>
      </c>
      <c r="H42" t="s">
        <v>15</v>
      </c>
      <c r="I42" t="s">
        <v>14</v>
      </c>
      <c r="J42" t="s">
        <v>14</v>
      </c>
      <c r="K42" t="s">
        <v>14</v>
      </c>
      <c r="Q42" s="2"/>
      <c r="Z42">
        <v>19</v>
      </c>
      <c r="AA42" s="2">
        <v>3.2450000000000001</v>
      </c>
    </row>
    <row r="43" spans="1:27" x14ac:dyDescent="0.2">
      <c r="A43" t="s">
        <v>89</v>
      </c>
      <c r="B43" t="s">
        <v>11</v>
      </c>
      <c r="C43">
        <v>19</v>
      </c>
      <c r="D43" t="s">
        <v>90</v>
      </c>
      <c r="E43" t="s">
        <v>31</v>
      </c>
      <c r="F43" s="2">
        <v>3.75</v>
      </c>
      <c r="G43" t="s">
        <v>15</v>
      </c>
      <c r="H43" t="s">
        <v>15</v>
      </c>
      <c r="I43" t="s">
        <v>14</v>
      </c>
      <c r="J43" t="s">
        <v>15</v>
      </c>
      <c r="K43" t="s">
        <v>14</v>
      </c>
      <c r="Q43" s="2"/>
      <c r="Z43">
        <v>19</v>
      </c>
      <c r="AA43" s="2">
        <v>3.75</v>
      </c>
    </row>
    <row r="44" spans="1:27" x14ac:dyDescent="0.2">
      <c r="A44" s="1">
        <v>44050.757638888892</v>
      </c>
      <c r="B44" t="s">
        <v>16</v>
      </c>
      <c r="C44">
        <v>19</v>
      </c>
      <c r="D44" t="s">
        <v>54</v>
      </c>
      <c r="E44" t="s">
        <v>31</v>
      </c>
      <c r="F44" s="2">
        <v>3.2450000000000001</v>
      </c>
      <c r="G44" t="s">
        <v>15</v>
      </c>
      <c r="H44" t="s">
        <v>15</v>
      </c>
      <c r="I44" t="s">
        <v>14</v>
      </c>
      <c r="J44" t="s">
        <v>15</v>
      </c>
      <c r="K44" t="s">
        <v>14</v>
      </c>
      <c r="Q44" s="2"/>
      <c r="Z44">
        <v>19</v>
      </c>
      <c r="AA44" s="2">
        <v>3.2450000000000001</v>
      </c>
    </row>
    <row r="45" spans="1:27" x14ac:dyDescent="0.2">
      <c r="A45" s="1">
        <v>44050.501388888886</v>
      </c>
      <c r="B45" t="s">
        <v>11</v>
      </c>
      <c r="C45">
        <v>18</v>
      </c>
      <c r="D45" t="s">
        <v>12</v>
      </c>
      <c r="E45" t="s">
        <v>13</v>
      </c>
      <c r="F45" s="2">
        <v>3.2450000000000001</v>
      </c>
      <c r="G45" t="s">
        <v>14</v>
      </c>
      <c r="H45" t="s">
        <v>15</v>
      </c>
      <c r="I45" t="s">
        <v>14</v>
      </c>
      <c r="J45" t="s">
        <v>15</v>
      </c>
      <c r="K45" t="s">
        <v>14</v>
      </c>
      <c r="Q45" s="2"/>
      <c r="Z45">
        <v>18</v>
      </c>
      <c r="AA45" s="2">
        <v>3.2450000000000001</v>
      </c>
    </row>
    <row r="46" spans="1:27" x14ac:dyDescent="0.2">
      <c r="A46" s="1">
        <v>44050.527777777781</v>
      </c>
      <c r="B46" t="s">
        <v>11</v>
      </c>
      <c r="C46">
        <v>18</v>
      </c>
      <c r="D46" t="s">
        <v>27</v>
      </c>
      <c r="E46" t="s">
        <v>13</v>
      </c>
      <c r="F46" s="2">
        <v>3.2450000000000001</v>
      </c>
      <c r="G46" t="s">
        <v>14</v>
      </c>
      <c r="H46" t="s">
        <v>15</v>
      </c>
      <c r="I46" t="s">
        <v>14</v>
      </c>
      <c r="J46" t="s">
        <v>14</v>
      </c>
      <c r="K46" t="s">
        <v>14</v>
      </c>
      <c r="Q46" s="2"/>
      <c r="Z46">
        <v>18</v>
      </c>
      <c r="AA46" s="2">
        <v>3.2450000000000001</v>
      </c>
    </row>
    <row r="47" spans="1:27" x14ac:dyDescent="0.2">
      <c r="A47" s="1">
        <v>44050.623611111114</v>
      </c>
      <c r="B47" t="s">
        <v>11</v>
      </c>
      <c r="C47">
        <v>20</v>
      </c>
      <c r="D47" t="s">
        <v>41</v>
      </c>
      <c r="E47" t="s">
        <v>18</v>
      </c>
      <c r="F47" s="2">
        <v>3.2450000000000001</v>
      </c>
      <c r="G47" t="s">
        <v>14</v>
      </c>
      <c r="H47" t="s">
        <v>15</v>
      </c>
      <c r="I47" t="s">
        <v>14</v>
      </c>
      <c r="J47" t="s">
        <v>14</v>
      </c>
      <c r="K47" t="s">
        <v>14</v>
      </c>
      <c r="Q47" s="2"/>
      <c r="Z47">
        <v>20</v>
      </c>
      <c r="AA47" s="2">
        <v>3.2450000000000001</v>
      </c>
    </row>
    <row r="48" spans="1:27" x14ac:dyDescent="0.2">
      <c r="A48" s="1">
        <v>44050.664583333331</v>
      </c>
      <c r="B48" t="s">
        <v>11</v>
      </c>
      <c r="C48">
        <v>19</v>
      </c>
      <c r="D48" t="s">
        <v>27</v>
      </c>
      <c r="E48" t="s">
        <v>13</v>
      </c>
      <c r="F48" s="2">
        <v>3.75</v>
      </c>
      <c r="G48" t="s">
        <v>14</v>
      </c>
      <c r="H48" t="s">
        <v>15</v>
      </c>
      <c r="I48" t="s">
        <v>14</v>
      </c>
      <c r="J48" t="s">
        <v>15</v>
      </c>
      <c r="K48" t="s">
        <v>15</v>
      </c>
      <c r="Q48" s="2"/>
      <c r="Z48">
        <v>19</v>
      </c>
      <c r="AA48" s="2">
        <v>3.75</v>
      </c>
    </row>
    <row r="49" spans="1:27" x14ac:dyDescent="0.2">
      <c r="A49" s="1">
        <v>44050.795138888891</v>
      </c>
      <c r="B49" t="s">
        <v>11</v>
      </c>
      <c r="C49">
        <v>18</v>
      </c>
      <c r="D49" t="s">
        <v>55</v>
      </c>
      <c r="E49" t="s">
        <v>13</v>
      </c>
      <c r="F49" s="2">
        <v>3.75</v>
      </c>
      <c r="G49" t="s">
        <v>14</v>
      </c>
      <c r="H49" t="s">
        <v>15</v>
      </c>
      <c r="I49" t="s">
        <v>14</v>
      </c>
      <c r="J49" t="s">
        <v>14</v>
      </c>
      <c r="K49" t="s">
        <v>14</v>
      </c>
      <c r="Q49" s="2"/>
      <c r="Z49">
        <v>18</v>
      </c>
      <c r="AA49" s="2">
        <v>3.75</v>
      </c>
    </row>
    <row r="50" spans="1:27" x14ac:dyDescent="0.2">
      <c r="A50" s="1">
        <v>44081.552083333336</v>
      </c>
      <c r="B50" t="s">
        <v>11</v>
      </c>
      <c r="C50">
        <v>23</v>
      </c>
      <c r="D50" t="s">
        <v>12</v>
      </c>
      <c r="E50" t="s">
        <v>13</v>
      </c>
      <c r="F50" s="2">
        <v>3.2450000000000001</v>
      </c>
      <c r="G50" t="s">
        <v>14</v>
      </c>
      <c r="H50" t="s">
        <v>15</v>
      </c>
      <c r="I50" t="s">
        <v>14</v>
      </c>
      <c r="J50" t="s">
        <v>14</v>
      </c>
      <c r="K50" t="s">
        <v>14</v>
      </c>
      <c r="Q50" s="2"/>
      <c r="Z50">
        <v>23</v>
      </c>
      <c r="AA50" s="2">
        <v>3.2450000000000001</v>
      </c>
    </row>
    <row r="51" spans="1:27" x14ac:dyDescent="0.2">
      <c r="A51" t="s">
        <v>82</v>
      </c>
      <c r="B51" t="s">
        <v>11</v>
      </c>
      <c r="C51">
        <v>18</v>
      </c>
      <c r="D51" t="s">
        <v>48</v>
      </c>
      <c r="E51" t="s">
        <v>13</v>
      </c>
      <c r="F51" s="2">
        <v>3.2450000000000001</v>
      </c>
      <c r="G51" t="s">
        <v>14</v>
      </c>
      <c r="H51" t="s">
        <v>15</v>
      </c>
      <c r="I51" t="s">
        <v>14</v>
      </c>
      <c r="J51" t="s">
        <v>14</v>
      </c>
      <c r="K51" t="s">
        <v>14</v>
      </c>
      <c r="Q51" s="2"/>
      <c r="Z51">
        <v>18</v>
      </c>
      <c r="AA51" s="2">
        <v>3.2450000000000001</v>
      </c>
    </row>
    <row r="52" spans="1:27" x14ac:dyDescent="0.2">
      <c r="A52" s="1">
        <v>44050.634722222225</v>
      </c>
      <c r="B52" t="s">
        <v>16</v>
      </c>
      <c r="C52">
        <v>24</v>
      </c>
      <c r="D52" t="s">
        <v>27</v>
      </c>
      <c r="E52" t="s">
        <v>18</v>
      </c>
      <c r="F52" s="2">
        <v>3.2450000000000001</v>
      </c>
      <c r="G52" t="s">
        <v>14</v>
      </c>
      <c r="H52" t="s">
        <v>15</v>
      </c>
      <c r="I52" t="s">
        <v>14</v>
      </c>
      <c r="J52" t="s">
        <v>14</v>
      </c>
      <c r="K52" t="s">
        <v>14</v>
      </c>
      <c r="Q52" s="2"/>
      <c r="Z52">
        <v>24</v>
      </c>
      <c r="AA52" s="2">
        <v>3.2450000000000001</v>
      </c>
    </row>
    <row r="53" spans="1:27" x14ac:dyDescent="0.2">
      <c r="A53" s="1">
        <v>44050.524305555555</v>
      </c>
      <c r="B53" t="s">
        <v>11</v>
      </c>
      <c r="C53">
        <v>19</v>
      </c>
      <c r="D53" t="s">
        <v>28</v>
      </c>
      <c r="E53" t="s">
        <v>25</v>
      </c>
      <c r="F53" s="2">
        <v>2.7450000000000001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Q53" s="2"/>
      <c r="Z53">
        <v>19</v>
      </c>
      <c r="AA53" s="2">
        <v>2.7450000000000001</v>
      </c>
    </row>
    <row r="54" spans="1:27" x14ac:dyDescent="0.2">
      <c r="A54" s="1">
        <v>44050.527083333334</v>
      </c>
      <c r="B54" t="s">
        <v>11</v>
      </c>
      <c r="C54">
        <v>20</v>
      </c>
      <c r="D54" t="s">
        <v>30</v>
      </c>
      <c r="E54" t="s">
        <v>13</v>
      </c>
      <c r="F54" s="2">
        <v>3.75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Q54" s="2"/>
      <c r="Z54">
        <v>20</v>
      </c>
      <c r="AA54" s="2">
        <v>3.75</v>
      </c>
    </row>
    <row r="55" spans="1:27" x14ac:dyDescent="0.2">
      <c r="A55" s="1">
        <v>44050.531944444447</v>
      </c>
      <c r="B55" t="s">
        <v>11</v>
      </c>
      <c r="C55">
        <v>24</v>
      </c>
      <c r="D55" t="s">
        <v>33</v>
      </c>
      <c r="E55" t="s">
        <v>22</v>
      </c>
      <c r="F55" s="2">
        <v>3.2450000000000001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Q55" s="2"/>
      <c r="Z55">
        <v>24</v>
      </c>
      <c r="AA55" s="2">
        <v>3.2450000000000001</v>
      </c>
    </row>
    <row r="56" spans="1:27" x14ac:dyDescent="0.2">
      <c r="A56" s="1">
        <v>44050.55</v>
      </c>
      <c r="B56" t="s">
        <v>11</v>
      </c>
      <c r="C56">
        <v>19</v>
      </c>
      <c r="D56" t="s">
        <v>12</v>
      </c>
      <c r="E56" t="s">
        <v>13</v>
      </c>
      <c r="F56" s="2">
        <v>3.2450000000000001</v>
      </c>
      <c r="G56" t="s">
        <v>14</v>
      </c>
      <c r="H56" t="s">
        <v>14</v>
      </c>
      <c r="I56" t="s">
        <v>14</v>
      </c>
      <c r="J56" t="s">
        <v>15</v>
      </c>
      <c r="K56" t="s">
        <v>14</v>
      </c>
      <c r="Q56" s="2"/>
      <c r="Z56">
        <v>19</v>
      </c>
      <c r="AA56" s="2">
        <v>3.2450000000000001</v>
      </c>
    </row>
    <row r="57" spans="1:27" x14ac:dyDescent="0.2">
      <c r="A57" s="1">
        <v>44050.550694444442</v>
      </c>
      <c r="B57" t="s">
        <v>11</v>
      </c>
      <c r="C57">
        <v>18</v>
      </c>
      <c r="D57" t="s">
        <v>36</v>
      </c>
      <c r="E57" t="s">
        <v>25</v>
      </c>
      <c r="F57" s="2">
        <v>3.2450000000000001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Q57" s="2"/>
      <c r="Z57">
        <v>18</v>
      </c>
      <c r="AA57" s="2">
        <v>3.2450000000000001</v>
      </c>
    </row>
    <row r="58" spans="1:27" x14ac:dyDescent="0.2">
      <c r="A58" s="1">
        <v>44050.550694444442</v>
      </c>
      <c r="B58" t="s">
        <v>11</v>
      </c>
      <c r="C58">
        <v>24</v>
      </c>
      <c r="D58" t="s">
        <v>27</v>
      </c>
      <c r="E58" t="s">
        <v>13</v>
      </c>
      <c r="F58" s="2">
        <v>3.75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Q58" s="2"/>
      <c r="Z58">
        <v>24</v>
      </c>
      <c r="AA58" s="2">
        <v>3.75</v>
      </c>
    </row>
    <row r="59" spans="1:27" x14ac:dyDescent="0.2">
      <c r="A59" s="1">
        <v>44050.552083333336</v>
      </c>
      <c r="B59" t="s">
        <v>11</v>
      </c>
      <c r="C59">
        <v>24</v>
      </c>
      <c r="D59" t="s">
        <v>12</v>
      </c>
      <c r="E59" t="s">
        <v>13</v>
      </c>
      <c r="F59" s="2">
        <v>3.2450000000000001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Q59" s="2"/>
      <c r="Z59">
        <v>24</v>
      </c>
      <c r="AA59" s="2">
        <v>3.2450000000000001</v>
      </c>
    </row>
    <row r="60" spans="1:27" x14ac:dyDescent="0.2">
      <c r="A60" s="1">
        <v>44050.561805555553</v>
      </c>
      <c r="B60" t="s">
        <v>11</v>
      </c>
      <c r="C60">
        <v>18</v>
      </c>
      <c r="D60" t="s">
        <v>37</v>
      </c>
      <c r="E60" t="s">
        <v>13</v>
      </c>
      <c r="F60" s="2">
        <v>3.75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Q60" s="2"/>
      <c r="Z60">
        <v>18</v>
      </c>
      <c r="AA60" s="2">
        <v>3.75</v>
      </c>
    </row>
    <row r="61" spans="1:27" x14ac:dyDescent="0.2">
      <c r="A61" s="1">
        <v>44050.565972222219</v>
      </c>
      <c r="B61" t="s">
        <v>11</v>
      </c>
      <c r="C61">
        <v>19</v>
      </c>
      <c r="D61" t="s">
        <v>12</v>
      </c>
      <c r="E61" t="s">
        <v>13</v>
      </c>
      <c r="F61" s="2">
        <v>3.75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Q61" s="2"/>
      <c r="Z61">
        <v>19</v>
      </c>
      <c r="AA61" s="2">
        <v>3.75</v>
      </c>
    </row>
    <row r="62" spans="1:27" x14ac:dyDescent="0.2">
      <c r="A62" s="1">
        <v>44050.586805555555</v>
      </c>
      <c r="B62" t="s">
        <v>11</v>
      </c>
      <c r="C62">
        <v>24</v>
      </c>
      <c r="D62" t="s">
        <v>27</v>
      </c>
      <c r="E62" t="s">
        <v>24</v>
      </c>
      <c r="F62" s="2">
        <v>3.75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Q62" s="2"/>
      <c r="Z62">
        <v>24</v>
      </c>
      <c r="AA62" s="2">
        <v>3.75</v>
      </c>
    </row>
    <row r="63" spans="1:27" x14ac:dyDescent="0.2">
      <c r="A63" s="1">
        <v>44050.602083333331</v>
      </c>
      <c r="B63" t="s">
        <v>11</v>
      </c>
      <c r="C63">
        <v>23</v>
      </c>
      <c r="D63" t="s">
        <v>38</v>
      </c>
      <c r="E63" t="s">
        <v>25</v>
      </c>
      <c r="F63" s="2">
        <v>3.2450000000000001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Q63" s="2"/>
      <c r="Z63">
        <v>23</v>
      </c>
      <c r="AA63" s="2">
        <v>3.2450000000000001</v>
      </c>
    </row>
    <row r="64" spans="1:27" x14ac:dyDescent="0.2">
      <c r="A64" s="1">
        <v>44050.613194444442</v>
      </c>
      <c r="B64" t="s">
        <v>11</v>
      </c>
      <c r="C64">
        <v>18</v>
      </c>
      <c r="D64" t="s">
        <v>12</v>
      </c>
      <c r="E64" t="s">
        <v>13</v>
      </c>
      <c r="F64" s="2">
        <v>2.2450000000000001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Q64" s="2"/>
      <c r="Z64">
        <v>18</v>
      </c>
      <c r="AA64" s="2">
        <v>2.2450000000000001</v>
      </c>
    </row>
    <row r="65" spans="1:27" x14ac:dyDescent="0.2">
      <c r="A65" s="1">
        <v>44050.615972222222</v>
      </c>
      <c r="B65" t="s">
        <v>11</v>
      </c>
      <c r="C65">
        <v>18</v>
      </c>
      <c r="D65" t="s">
        <v>40</v>
      </c>
      <c r="E65" t="s">
        <v>13</v>
      </c>
      <c r="F65" s="2">
        <v>3.75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Q65" s="2"/>
      <c r="Z65">
        <v>18</v>
      </c>
      <c r="AA65" s="2">
        <v>3.75</v>
      </c>
    </row>
    <row r="66" spans="1:27" x14ac:dyDescent="0.2">
      <c r="A66" s="1">
        <v>44050.622916666667</v>
      </c>
      <c r="B66" t="s">
        <v>11</v>
      </c>
      <c r="C66">
        <v>22</v>
      </c>
      <c r="D66" t="s">
        <v>12</v>
      </c>
      <c r="E66" t="s">
        <v>24</v>
      </c>
      <c r="F66" s="2">
        <v>3.75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Q66" s="2"/>
      <c r="Z66">
        <v>22</v>
      </c>
      <c r="AA66" s="2">
        <v>3.75</v>
      </c>
    </row>
    <row r="67" spans="1:27" x14ac:dyDescent="0.2">
      <c r="A67" s="1">
        <v>44050.634722222225</v>
      </c>
      <c r="B67" t="s">
        <v>11</v>
      </c>
      <c r="C67">
        <v>18</v>
      </c>
      <c r="D67" t="s">
        <v>43</v>
      </c>
      <c r="E67" t="s">
        <v>24</v>
      </c>
      <c r="F67" s="2">
        <v>3.75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Q67" s="2"/>
      <c r="Z67">
        <v>18</v>
      </c>
      <c r="AA67" s="2">
        <v>3.75</v>
      </c>
    </row>
    <row r="68" spans="1:27" x14ac:dyDescent="0.2">
      <c r="A68" s="1">
        <v>44050.637499999997</v>
      </c>
      <c r="B68" t="s">
        <v>11</v>
      </c>
      <c r="C68">
        <v>24</v>
      </c>
      <c r="D68" t="s">
        <v>27</v>
      </c>
      <c r="E68" t="s">
        <v>22</v>
      </c>
      <c r="F68" s="2">
        <v>3.75</v>
      </c>
      <c r="G68" t="s">
        <v>14</v>
      </c>
      <c r="H68" t="s">
        <v>14</v>
      </c>
      <c r="I68" t="s">
        <v>14</v>
      </c>
      <c r="J68" t="s">
        <v>15</v>
      </c>
      <c r="K68" t="s">
        <v>14</v>
      </c>
      <c r="Q68" s="2"/>
      <c r="Z68">
        <v>24</v>
      </c>
      <c r="AA68" s="2">
        <v>3.75</v>
      </c>
    </row>
    <row r="69" spans="1:27" x14ac:dyDescent="0.2">
      <c r="A69" s="1">
        <v>44050.657638888886</v>
      </c>
      <c r="B69" t="s">
        <v>11</v>
      </c>
      <c r="C69">
        <v>19</v>
      </c>
      <c r="D69" t="s">
        <v>45</v>
      </c>
      <c r="E69" t="s">
        <v>22</v>
      </c>
      <c r="F69" s="2">
        <v>3.2450000000000001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Q69" s="2"/>
      <c r="Z69">
        <v>19</v>
      </c>
      <c r="AA69" s="2">
        <v>3.2450000000000001</v>
      </c>
    </row>
    <row r="70" spans="1:27" x14ac:dyDescent="0.2">
      <c r="A70" s="1">
        <v>44050.681944444441</v>
      </c>
      <c r="B70" t="s">
        <v>11</v>
      </c>
      <c r="C70">
        <v>18</v>
      </c>
      <c r="D70" t="s">
        <v>27</v>
      </c>
      <c r="E70" t="s">
        <v>13</v>
      </c>
      <c r="F70" s="2">
        <v>3.75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Q70" s="2"/>
      <c r="Z70">
        <v>18</v>
      </c>
      <c r="AA70" s="2">
        <v>3.75</v>
      </c>
    </row>
    <row r="71" spans="1:27" x14ac:dyDescent="0.2">
      <c r="A71" s="1">
        <v>44050.69027777778</v>
      </c>
      <c r="B71" t="s">
        <v>11</v>
      </c>
      <c r="C71">
        <v>23</v>
      </c>
      <c r="D71" t="s">
        <v>49</v>
      </c>
      <c r="E71" t="s">
        <v>13</v>
      </c>
      <c r="F71" s="2">
        <v>3.2450000000000001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Q71" s="2"/>
      <c r="Z71">
        <v>23</v>
      </c>
      <c r="AA71" s="2">
        <v>3.2450000000000001</v>
      </c>
    </row>
    <row r="72" spans="1:27" x14ac:dyDescent="0.2">
      <c r="A72" s="1">
        <v>44050.69027777778</v>
      </c>
      <c r="B72" t="s">
        <v>11</v>
      </c>
      <c r="C72">
        <v>18</v>
      </c>
      <c r="D72" t="s">
        <v>50</v>
      </c>
      <c r="E72" t="s">
        <v>31</v>
      </c>
      <c r="F72" s="2">
        <v>3.2450000000000001</v>
      </c>
      <c r="G72" t="s">
        <v>14</v>
      </c>
      <c r="H72" t="s">
        <v>14</v>
      </c>
      <c r="I72" t="s">
        <v>14</v>
      </c>
      <c r="J72" t="s">
        <v>15</v>
      </c>
      <c r="K72" t="s">
        <v>14</v>
      </c>
      <c r="Q72" s="2"/>
      <c r="Z72">
        <v>18</v>
      </c>
      <c r="AA72" s="2">
        <v>3.2450000000000001</v>
      </c>
    </row>
    <row r="73" spans="1:27" x14ac:dyDescent="0.2">
      <c r="A73" s="1">
        <v>44050.703472222223</v>
      </c>
      <c r="B73" t="s">
        <v>11</v>
      </c>
      <c r="C73">
        <v>19</v>
      </c>
      <c r="D73" t="s">
        <v>27</v>
      </c>
      <c r="E73" t="s">
        <v>13</v>
      </c>
      <c r="F73" s="2">
        <v>3.75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Q73" s="2"/>
      <c r="Z73">
        <v>19</v>
      </c>
      <c r="AA73" s="2">
        <v>3.75</v>
      </c>
    </row>
    <row r="74" spans="1:27" x14ac:dyDescent="0.2">
      <c r="A74" s="1">
        <v>44050.711805555555</v>
      </c>
      <c r="B74" t="s">
        <v>11</v>
      </c>
      <c r="C74">
        <v>18</v>
      </c>
      <c r="D74" t="s">
        <v>51</v>
      </c>
      <c r="E74" t="s">
        <v>20</v>
      </c>
      <c r="F74" s="2">
        <v>3.75</v>
      </c>
      <c r="G74" t="s">
        <v>14</v>
      </c>
      <c r="H74" t="s">
        <v>14</v>
      </c>
      <c r="I74" t="s">
        <v>14</v>
      </c>
      <c r="J74" t="s">
        <v>15</v>
      </c>
      <c r="K74" t="s">
        <v>14</v>
      </c>
      <c r="Q74" s="2"/>
      <c r="Z74">
        <v>18</v>
      </c>
      <c r="AA74" s="2">
        <v>3.75</v>
      </c>
    </row>
    <row r="75" spans="1:27" x14ac:dyDescent="0.2">
      <c r="A75" s="1">
        <v>44050.734027777777</v>
      </c>
      <c r="B75" t="s">
        <v>11</v>
      </c>
      <c r="C75">
        <v>24</v>
      </c>
      <c r="D75" t="s">
        <v>52</v>
      </c>
      <c r="E75" t="s">
        <v>13</v>
      </c>
      <c r="F75" s="2">
        <v>3.75</v>
      </c>
      <c r="G75" t="s">
        <v>14</v>
      </c>
      <c r="H75" t="s">
        <v>14</v>
      </c>
      <c r="I75" t="s">
        <v>14</v>
      </c>
      <c r="J75" t="s">
        <v>15</v>
      </c>
      <c r="K75" t="s">
        <v>14</v>
      </c>
      <c r="Q75" s="2"/>
      <c r="Z75">
        <v>24</v>
      </c>
      <c r="AA75" s="2">
        <v>3.75</v>
      </c>
    </row>
    <row r="76" spans="1:27" x14ac:dyDescent="0.2">
      <c r="A76" s="1">
        <v>44050.740277777775</v>
      </c>
      <c r="B76" t="s">
        <v>11</v>
      </c>
      <c r="C76">
        <v>24</v>
      </c>
      <c r="D76" t="s">
        <v>43</v>
      </c>
      <c r="E76" t="s">
        <v>13</v>
      </c>
      <c r="F76" s="2">
        <v>3.75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  <c r="Q76" s="2"/>
      <c r="Z76">
        <v>24</v>
      </c>
      <c r="AA76" s="2">
        <v>3.75</v>
      </c>
    </row>
    <row r="77" spans="1:27" x14ac:dyDescent="0.2">
      <c r="A77" s="1">
        <v>44050.85833333333</v>
      </c>
      <c r="B77" t="s">
        <v>11</v>
      </c>
      <c r="C77">
        <v>24</v>
      </c>
      <c r="D77" t="s">
        <v>45</v>
      </c>
      <c r="E77" t="s">
        <v>13</v>
      </c>
      <c r="F77" s="2">
        <v>3.2450000000000001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Q77" s="2"/>
      <c r="Z77">
        <v>24</v>
      </c>
      <c r="AA77" s="2">
        <v>3.2450000000000001</v>
      </c>
    </row>
    <row r="78" spans="1:27" x14ac:dyDescent="0.2">
      <c r="A78" s="1">
        <v>44050.88958333333</v>
      </c>
      <c r="B78" t="s">
        <v>11</v>
      </c>
      <c r="C78">
        <v>18</v>
      </c>
      <c r="D78" t="s">
        <v>21</v>
      </c>
      <c r="E78" t="s">
        <v>31</v>
      </c>
      <c r="F78" s="2">
        <v>3.75</v>
      </c>
      <c r="G78" t="s">
        <v>14</v>
      </c>
      <c r="H78" t="s">
        <v>14</v>
      </c>
      <c r="I78" t="s">
        <v>14</v>
      </c>
      <c r="J78" t="s">
        <v>15</v>
      </c>
      <c r="K78" t="s">
        <v>14</v>
      </c>
      <c r="Q78" s="2"/>
      <c r="Z78">
        <v>18</v>
      </c>
      <c r="AA78" s="2">
        <v>3.75</v>
      </c>
    </row>
    <row r="79" spans="1:27" x14ac:dyDescent="0.2">
      <c r="A79" s="1">
        <v>44081.76666666667</v>
      </c>
      <c r="B79" t="s">
        <v>11</v>
      </c>
      <c r="C79">
        <v>18</v>
      </c>
      <c r="D79" t="s">
        <v>57</v>
      </c>
      <c r="E79" t="s">
        <v>25</v>
      </c>
      <c r="F79" s="2">
        <v>3.2450000000000001</v>
      </c>
      <c r="G79" t="s">
        <v>14</v>
      </c>
      <c r="H79" t="s">
        <v>14</v>
      </c>
      <c r="I79" t="s">
        <v>14</v>
      </c>
      <c r="J79" t="s">
        <v>15</v>
      </c>
      <c r="K79" t="s">
        <v>14</v>
      </c>
      <c r="Q79" s="2"/>
      <c r="Z79">
        <v>18</v>
      </c>
      <c r="AA79" s="2">
        <v>3.2450000000000001</v>
      </c>
    </row>
    <row r="80" spans="1:27" x14ac:dyDescent="0.2">
      <c r="A80" t="s">
        <v>58</v>
      </c>
      <c r="B80" t="s">
        <v>11</v>
      </c>
      <c r="C80">
        <v>19</v>
      </c>
      <c r="D80" t="s">
        <v>59</v>
      </c>
      <c r="E80" t="s">
        <v>31</v>
      </c>
      <c r="F80" s="2">
        <v>0.995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Q80" s="2"/>
      <c r="Z80">
        <v>19</v>
      </c>
      <c r="AA80" s="2">
        <v>0.995</v>
      </c>
    </row>
    <row r="81" spans="1:27" x14ac:dyDescent="0.2">
      <c r="A81" t="s">
        <v>60</v>
      </c>
      <c r="B81" t="s">
        <v>11</v>
      </c>
      <c r="C81">
        <v>18</v>
      </c>
      <c r="D81" t="s">
        <v>12</v>
      </c>
      <c r="E81" t="s">
        <v>24</v>
      </c>
      <c r="F81" s="2">
        <v>3.75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  <c r="Q81" s="2"/>
      <c r="Z81">
        <v>18</v>
      </c>
      <c r="AA81" s="2">
        <v>3.75</v>
      </c>
    </row>
    <row r="82" spans="1:27" x14ac:dyDescent="0.2">
      <c r="A82" t="s">
        <v>63</v>
      </c>
      <c r="B82" t="s">
        <v>11</v>
      </c>
      <c r="C82">
        <v>24</v>
      </c>
      <c r="D82" t="s">
        <v>64</v>
      </c>
      <c r="E82" t="s">
        <v>18</v>
      </c>
      <c r="F82" s="2">
        <v>3.75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Q82" s="2"/>
      <c r="Z82">
        <v>24</v>
      </c>
      <c r="AA82" s="2">
        <v>3.75</v>
      </c>
    </row>
    <row r="83" spans="1:27" x14ac:dyDescent="0.2">
      <c r="A83" t="s">
        <v>66</v>
      </c>
      <c r="B83" t="s">
        <v>11</v>
      </c>
      <c r="C83">
        <v>19</v>
      </c>
      <c r="D83" t="s">
        <v>67</v>
      </c>
      <c r="E83" t="s">
        <v>25</v>
      </c>
      <c r="F83" s="2">
        <v>3.2450000000000001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  <c r="Q83" s="2"/>
      <c r="Z83">
        <v>19</v>
      </c>
      <c r="AA83" s="2">
        <v>3.2450000000000001</v>
      </c>
    </row>
    <row r="84" spans="1:27" x14ac:dyDescent="0.2">
      <c r="A84" t="s">
        <v>72</v>
      </c>
      <c r="B84" t="s">
        <v>11</v>
      </c>
      <c r="C84">
        <v>19</v>
      </c>
      <c r="D84" t="s">
        <v>73</v>
      </c>
      <c r="E84" t="s">
        <v>31</v>
      </c>
      <c r="F84" s="2">
        <v>3.2450000000000001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Q84" s="2"/>
      <c r="Z84">
        <v>19</v>
      </c>
      <c r="AA84" s="2">
        <v>3.2450000000000001</v>
      </c>
    </row>
    <row r="85" spans="1:27" x14ac:dyDescent="0.2">
      <c r="A85" t="s">
        <v>77</v>
      </c>
      <c r="B85" t="s">
        <v>11</v>
      </c>
      <c r="C85">
        <v>23</v>
      </c>
      <c r="D85" t="s">
        <v>78</v>
      </c>
      <c r="E85" t="s">
        <v>31</v>
      </c>
      <c r="F85" s="2">
        <v>3.75</v>
      </c>
      <c r="G85" t="s">
        <v>14</v>
      </c>
      <c r="H85" t="s">
        <v>14</v>
      </c>
      <c r="I85" t="s">
        <v>14</v>
      </c>
      <c r="J85" t="s">
        <v>15</v>
      </c>
      <c r="K85" t="s">
        <v>14</v>
      </c>
      <c r="Q85" s="2"/>
      <c r="Z85">
        <v>23</v>
      </c>
      <c r="AA85" s="2">
        <v>3.75</v>
      </c>
    </row>
    <row r="86" spans="1:27" x14ac:dyDescent="0.2">
      <c r="A86" t="s">
        <v>83</v>
      </c>
      <c r="B86" t="s">
        <v>11</v>
      </c>
      <c r="C86">
        <v>24</v>
      </c>
      <c r="D86" t="s">
        <v>84</v>
      </c>
      <c r="E86" t="s">
        <v>31</v>
      </c>
      <c r="F86" s="2">
        <v>0.995</v>
      </c>
      <c r="G86" t="s">
        <v>14</v>
      </c>
      <c r="H86" t="s">
        <v>14</v>
      </c>
      <c r="I86" t="s">
        <v>14</v>
      </c>
      <c r="J86" t="s">
        <v>15</v>
      </c>
      <c r="K86" t="s">
        <v>14</v>
      </c>
      <c r="Q86" s="2"/>
      <c r="Z86">
        <v>24</v>
      </c>
      <c r="AA86" s="2">
        <v>0.995</v>
      </c>
    </row>
    <row r="87" spans="1:27" x14ac:dyDescent="0.2">
      <c r="A87" t="s">
        <v>85</v>
      </c>
      <c r="B87" t="s">
        <v>11</v>
      </c>
      <c r="C87">
        <v>18</v>
      </c>
      <c r="D87" t="s">
        <v>86</v>
      </c>
      <c r="E87" t="s">
        <v>13</v>
      </c>
      <c r="F87" s="2">
        <v>3.75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  <c r="Q87" s="2"/>
      <c r="Z87">
        <v>18</v>
      </c>
      <c r="AA87" s="2">
        <v>3.75</v>
      </c>
    </row>
    <row r="88" spans="1:27" x14ac:dyDescent="0.2">
      <c r="A88" t="s">
        <v>91</v>
      </c>
      <c r="B88" t="s">
        <v>11</v>
      </c>
      <c r="C88">
        <v>23</v>
      </c>
      <c r="D88" t="s">
        <v>92</v>
      </c>
      <c r="E88" t="s">
        <v>24</v>
      </c>
      <c r="F88" s="2">
        <v>3.75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  <c r="Q88" s="2"/>
      <c r="Z88">
        <v>23</v>
      </c>
      <c r="AA88" s="2">
        <v>3.75</v>
      </c>
    </row>
    <row r="89" spans="1:27" x14ac:dyDescent="0.2">
      <c r="A89" s="1">
        <v>44050.509027777778</v>
      </c>
      <c r="B89" t="s">
        <v>16</v>
      </c>
      <c r="C89">
        <v>23</v>
      </c>
      <c r="D89" t="s">
        <v>23</v>
      </c>
      <c r="E89" t="s">
        <v>24</v>
      </c>
      <c r="F89" s="2">
        <v>3.2450000000000001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Q89" s="2"/>
      <c r="Z89">
        <v>23</v>
      </c>
      <c r="AA89" s="2">
        <v>3.2450000000000001</v>
      </c>
    </row>
    <row r="90" spans="1:27" x14ac:dyDescent="0.2">
      <c r="A90" s="1">
        <v>44050.521527777775</v>
      </c>
      <c r="B90" t="s">
        <v>16</v>
      </c>
      <c r="C90">
        <v>19</v>
      </c>
      <c r="D90" t="s">
        <v>12</v>
      </c>
      <c r="E90" t="s">
        <v>25</v>
      </c>
      <c r="F90" s="2">
        <v>3.75</v>
      </c>
      <c r="G90" t="s">
        <v>14</v>
      </c>
      <c r="H90" t="s">
        <v>14</v>
      </c>
      <c r="I90" t="s">
        <v>14</v>
      </c>
      <c r="J90" t="s">
        <v>15</v>
      </c>
      <c r="K90" t="s">
        <v>14</v>
      </c>
      <c r="Q90" s="2"/>
      <c r="Z90">
        <v>19</v>
      </c>
      <c r="AA90" s="2">
        <v>3.75</v>
      </c>
    </row>
    <row r="91" spans="1:27" x14ac:dyDescent="0.2">
      <c r="A91" s="1">
        <v>44050.52847222222</v>
      </c>
      <c r="B91" t="s">
        <v>16</v>
      </c>
      <c r="C91">
        <v>19</v>
      </c>
      <c r="D91" t="s">
        <v>12</v>
      </c>
      <c r="E91" t="s">
        <v>13</v>
      </c>
      <c r="F91" s="2">
        <v>3.2450000000000001</v>
      </c>
      <c r="G91" t="s">
        <v>14</v>
      </c>
      <c r="H91" t="s">
        <v>14</v>
      </c>
      <c r="I91" t="s">
        <v>14</v>
      </c>
      <c r="J91" t="s">
        <v>14</v>
      </c>
      <c r="K91" t="s">
        <v>14</v>
      </c>
      <c r="Q91" s="2"/>
      <c r="Z91">
        <v>19</v>
      </c>
      <c r="AA91" s="2">
        <v>3.2450000000000001</v>
      </c>
    </row>
    <row r="92" spans="1:27" x14ac:dyDescent="0.2">
      <c r="A92" s="1">
        <v>44050.529861111114</v>
      </c>
      <c r="B92" t="s">
        <v>16</v>
      </c>
      <c r="C92">
        <v>24</v>
      </c>
      <c r="D92" t="s">
        <v>27</v>
      </c>
      <c r="E92" t="s">
        <v>31</v>
      </c>
      <c r="F92" s="2">
        <v>3.75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  <c r="Q92" s="2"/>
      <c r="Z92">
        <v>24</v>
      </c>
      <c r="AA92" s="2">
        <v>3.75</v>
      </c>
    </row>
    <row r="93" spans="1:27" x14ac:dyDescent="0.2">
      <c r="A93" s="1">
        <v>44050.603472222225</v>
      </c>
      <c r="B93" t="s">
        <v>16</v>
      </c>
      <c r="C93">
        <v>18</v>
      </c>
      <c r="D93" t="s">
        <v>27</v>
      </c>
      <c r="E93" t="s">
        <v>18</v>
      </c>
      <c r="F93" s="2">
        <v>3.2450000000000001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  <c r="Q93" s="2"/>
      <c r="Z93">
        <v>18</v>
      </c>
      <c r="AA93" s="2">
        <v>3.2450000000000001</v>
      </c>
    </row>
    <row r="94" spans="1:27" x14ac:dyDescent="0.2">
      <c r="A94" s="1">
        <v>44050.603472222225</v>
      </c>
      <c r="B94" t="s">
        <v>16</v>
      </c>
      <c r="C94">
        <v>19</v>
      </c>
      <c r="D94" t="s">
        <v>27</v>
      </c>
      <c r="E94" t="s">
        <v>13</v>
      </c>
      <c r="F94" s="2">
        <v>3.75</v>
      </c>
      <c r="G94" t="s">
        <v>14</v>
      </c>
      <c r="H94" t="s">
        <v>14</v>
      </c>
      <c r="I94" t="s">
        <v>14</v>
      </c>
      <c r="J94" t="s">
        <v>15</v>
      </c>
      <c r="K94" t="s">
        <v>14</v>
      </c>
      <c r="Q94" s="2"/>
      <c r="Z94">
        <v>19</v>
      </c>
      <c r="AA94" s="2">
        <v>3.75</v>
      </c>
    </row>
    <row r="95" spans="1:27" x14ac:dyDescent="0.2">
      <c r="A95" s="1">
        <v>44050.629861111112</v>
      </c>
      <c r="B95" t="s">
        <v>16</v>
      </c>
      <c r="D95" t="s">
        <v>19</v>
      </c>
      <c r="E95" t="s">
        <v>13</v>
      </c>
      <c r="F95" s="2">
        <v>0.995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  <c r="Q95" s="2"/>
      <c r="Z95">
        <v>20.53</v>
      </c>
      <c r="AA95" s="2">
        <v>0.995</v>
      </c>
    </row>
    <row r="96" spans="1:27" x14ac:dyDescent="0.2">
      <c r="A96" s="1">
        <v>44050.630555555559</v>
      </c>
      <c r="B96" t="s">
        <v>16</v>
      </c>
      <c r="C96">
        <v>23</v>
      </c>
      <c r="D96" t="s">
        <v>42</v>
      </c>
      <c r="E96" t="s">
        <v>18</v>
      </c>
      <c r="F96" s="2">
        <v>3.75</v>
      </c>
      <c r="G96" t="s">
        <v>14</v>
      </c>
      <c r="H96" t="s">
        <v>14</v>
      </c>
      <c r="I96" t="s">
        <v>14</v>
      </c>
      <c r="J96" t="s">
        <v>15</v>
      </c>
      <c r="K96" t="s">
        <v>14</v>
      </c>
      <c r="Q96" s="2"/>
      <c r="Z96">
        <v>23</v>
      </c>
      <c r="AA96" s="2">
        <v>3.75</v>
      </c>
    </row>
    <row r="97" spans="1:27" x14ac:dyDescent="0.2">
      <c r="A97" s="1">
        <v>44050.665277777778</v>
      </c>
      <c r="B97" t="s">
        <v>16</v>
      </c>
      <c r="C97">
        <v>21</v>
      </c>
      <c r="D97" t="s">
        <v>27</v>
      </c>
      <c r="E97" t="s">
        <v>13</v>
      </c>
      <c r="F97" s="2">
        <v>3.2450000000000001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  <c r="Q97" s="2"/>
      <c r="Z97">
        <v>21</v>
      </c>
      <c r="AA97" s="2">
        <v>3.2450000000000001</v>
      </c>
    </row>
    <row r="98" spans="1:27" x14ac:dyDescent="0.2">
      <c r="A98" s="1">
        <v>44050.672222222223</v>
      </c>
      <c r="B98" t="s">
        <v>16</v>
      </c>
      <c r="C98">
        <v>23</v>
      </c>
      <c r="D98" t="s">
        <v>47</v>
      </c>
      <c r="E98" t="s">
        <v>31</v>
      </c>
      <c r="F98" s="2">
        <v>3.75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Q98" s="2"/>
      <c r="Z98">
        <v>23</v>
      </c>
      <c r="AA98" s="2">
        <v>3.75</v>
      </c>
    </row>
    <row r="99" spans="1:27" x14ac:dyDescent="0.2">
      <c r="A99" s="1">
        <v>44081.289583333331</v>
      </c>
      <c r="B99" t="s">
        <v>16</v>
      </c>
      <c r="C99">
        <v>18</v>
      </c>
      <c r="D99" t="s">
        <v>45</v>
      </c>
      <c r="E99" t="s">
        <v>13</v>
      </c>
      <c r="F99" s="2">
        <v>0.995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  <c r="Q99" s="2"/>
      <c r="Z99">
        <v>18</v>
      </c>
      <c r="AA99" s="2">
        <v>0.995</v>
      </c>
    </row>
    <row r="100" spans="1:27" x14ac:dyDescent="0.2">
      <c r="A100" t="s">
        <v>68</v>
      </c>
      <c r="B100" t="s">
        <v>16</v>
      </c>
      <c r="C100">
        <v>23</v>
      </c>
      <c r="D100" t="s">
        <v>69</v>
      </c>
      <c r="E100" t="s">
        <v>13</v>
      </c>
      <c r="F100" s="2">
        <v>3.2450000000000001</v>
      </c>
      <c r="G100" t="s">
        <v>14</v>
      </c>
      <c r="H100" t="s">
        <v>14</v>
      </c>
      <c r="I100" t="s">
        <v>14</v>
      </c>
      <c r="J100" t="s">
        <v>14</v>
      </c>
      <c r="K100" t="s">
        <v>14</v>
      </c>
      <c r="Q100" s="2"/>
      <c r="Z100">
        <v>23</v>
      </c>
      <c r="AA100" s="2">
        <v>3.2450000000000001</v>
      </c>
    </row>
    <row r="101" spans="1:27" x14ac:dyDescent="0.2">
      <c r="A101" t="s">
        <v>76</v>
      </c>
      <c r="B101" t="s">
        <v>16</v>
      </c>
      <c r="C101">
        <v>24</v>
      </c>
      <c r="D101" t="s">
        <v>12</v>
      </c>
      <c r="E101" t="s">
        <v>25</v>
      </c>
      <c r="F101" s="2">
        <v>2.2450000000000001</v>
      </c>
      <c r="G101" t="s">
        <v>14</v>
      </c>
      <c r="H101" t="s">
        <v>14</v>
      </c>
      <c r="I101" t="s">
        <v>14</v>
      </c>
      <c r="J101" t="s">
        <v>15</v>
      </c>
      <c r="K101" t="s">
        <v>14</v>
      </c>
      <c r="Q101" s="2"/>
      <c r="Z101">
        <v>24</v>
      </c>
      <c r="AA101" s="2">
        <v>2.2450000000000001</v>
      </c>
    </row>
    <row r="102" spans="1:27" x14ac:dyDescent="0.2">
      <c r="A102" t="s">
        <v>93</v>
      </c>
      <c r="B102" t="s">
        <v>16</v>
      </c>
      <c r="C102">
        <v>20</v>
      </c>
      <c r="D102" t="s">
        <v>45</v>
      </c>
      <c r="E102" t="s">
        <v>25</v>
      </c>
      <c r="F102" s="2">
        <v>3.2450000000000001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  <c r="Q102" s="2"/>
      <c r="Z102">
        <v>20</v>
      </c>
      <c r="AA102" s="2">
        <v>3.2450000000000001</v>
      </c>
    </row>
    <row r="105" spans="1:27" ht="15.75" thickBot="1" x14ac:dyDescent="0.25"/>
    <row r="106" spans="1:27" x14ac:dyDescent="0.2">
      <c r="A106" s="4" t="s">
        <v>2</v>
      </c>
      <c r="B106" s="4"/>
      <c r="D106" s="4" t="s">
        <v>5</v>
      </c>
      <c r="E106" s="4"/>
      <c r="G106" s="5" t="s">
        <v>108</v>
      </c>
      <c r="H106" s="5"/>
      <c r="I106">
        <f>CORREL(C2:C102,F2:F102)</f>
        <v>5.6100876156040718E-3</v>
      </c>
    </row>
    <row r="108" spans="1:27" x14ac:dyDescent="0.2">
      <c r="A108" t="s">
        <v>94</v>
      </c>
      <c r="B108">
        <v>20.53</v>
      </c>
      <c r="D108" t="s">
        <v>94</v>
      </c>
      <c r="E108">
        <v>3.3562871287128733</v>
      </c>
      <c r="G108" s="5" t="s">
        <v>110</v>
      </c>
      <c r="H108" s="5"/>
      <c r="I108">
        <f>AVERAGE(C2:C102)</f>
        <v>20.53</v>
      </c>
    </row>
    <row r="109" spans="1:27" x14ac:dyDescent="0.2">
      <c r="A109" t="s">
        <v>95</v>
      </c>
      <c r="B109">
        <v>0.24962800606931462</v>
      </c>
      <c r="D109" t="s">
        <v>95</v>
      </c>
      <c r="E109">
        <v>5.82248396120435E-2</v>
      </c>
    </row>
    <row r="110" spans="1:27" x14ac:dyDescent="0.2">
      <c r="A110" t="s">
        <v>96</v>
      </c>
      <c r="B110">
        <v>19</v>
      </c>
      <c r="D110" t="s">
        <v>96</v>
      </c>
      <c r="E110">
        <v>3.2450000000000001</v>
      </c>
    </row>
    <row r="111" spans="1:27" x14ac:dyDescent="0.2">
      <c r="A111" t="s">
        <v>97</v>
      </c>
      <c r="B111">
        <v>18</v>
      </c>
      <c r="D111" t="s">
        <v>97</v>
      </c>
      <c r="E111">
        <v>3.75</v>
      </c>
    </row>
    <row r="112" spans="1:27" x14ac:dyDescent="0.2">
      <c r="A112" t="s">
        <v>98</v>
      </c>
      <c r="B112">
        <v>2.4962800606931461</v>
      </c>
      <c r="D112" t="s">
        <v>98</v>
      </c>
      <c r="E112">
        <v>0.58515239616074988</v>
      </c>
    </row>
    <row r="113" spans="1:5" x14ac:dyDescent="0.2">
      <c r="A113" t="s">
        <v>99</v>
      </c>
      <c r="B113">
        <v>6.2314141414141764</v>
      </c>
      <c r="D113" t="s">
        <v>99</v>
      </c>
      <c r="E113">
        <v>0.34240332673266721</v>
      </c>
    </row>
    <row r="114" spans="1:5" x14ac:dyDescent="0.2">
      <c r="A114" t="s">
        <v>100</v>
      </c>
      <c r="B114">
        <v>-1.6408010433357629</v>
      </c>
      <c r="D114" t="s">
        <v>100</v>
      </c>
      <c r="E114">
        <v>8.6023784600677295</v>
      </c>
    </row>
    <row r="115" spans="1:5" x14ac:dyDescent="0.2">
      <c r="A115" t="s">
        <v>101</v>
      </c>
      <c r="B115">
        <v>0.37717515488479386</v>
      </c>
      <c r="D115" t="s">
        <v>101</v>
      </c>
      <c r="E115">
        <v>-2.7216890029788638</v>
      </c>
    </row>
    <row r="116" spans="1:5" x14ac:dyDescent="0.2">
      <c r="A116" t="s">
        <v>102</v>
      </c>
      <c r="B116">
        <v>6</v>
      </c>
      <c r="D116" t="s">
        <v>102</v>
      </c>
      <c r="E116">
        <v>2.7549999999999999</v>
      </c>
    </row>
    <row r="117" spans="1:5" x14ac:dyDescent="0.2">
      <c r="A117" t="s">
        <v>103</v>
      </c>
      <c r="B117">
        <v>18</v>
      </c>
      <c r="D117" t="s">
        <v>103</v>
      </c>
      <c r="E117">
        <v>0.995</v>
      </c>
    </row>
    <row r="118" spans="1:5" x14ac:dyDescent="0.2">
      <c r="A118" t="s">
        <v>104</v>
      </c>
      <c r="B118">
        <v>24</v>
      </c>
      <c r="D118" t="s">
        <v>104</v>
      </c>
      <c r="E118">
        <v>3.75</v>
      </c>
    </row>
    <row r="119" spans="1:5" x14ac:dyDescent="0.2">
      <c r="A119" t="s">
        <v>105</v>
      </c>
      <c r="B119">
        <v>2053</v>
      </c>
      <c r="D119" t="s">
        <v>105</v>
      </c>
      <c r="E119">
        <v>338.98500000000018</v>
      </c>
    </row>
    <row r="120" spans="1:5" ht="15.75" thickBot="1" x14ac:dyDescent="0.25">
      <c r="A120" s="3" t="s">
        <v>106</v>
      </c>
      <c r="B120" s="3">
        <v>100</v>
      </c>
      <c r="D120" s="3" t="s">
        <v>106</v>
      </c>
      <c r="E120" s="3">
        <v>101</v>
      </c>
    </row>
  </sheetData>
  <sortState xmlns:xlrd2="http://schemas.microsoft.com/office/spreadsheetml/2017/richdata2" ref="A2:K102">
    <sortCondition descending="1" ref="I2:I102"/>
  </sortState>
  <mergeCells count="3">
    <mergeCell ref="G106:H106"/>
    <mergeCell ref="Q1:W1"/>
    <mergeCell ref="G108:H10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Mental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Labiqa Zulfiqar</dc:creator>
  <cp:lastModifiedBy>Labiqa Zulfiqar</cp:lastModifiedBy>
  <dcterms:created xsi:type="dcterms:W3CDTF">2025-12-04T05:37:57Z</dcterms:created>
  <dcterms:modified xsi:type="dcterms:W3CDTF">2025-12-11T19:06:35Z</dcterms:modified>
</cp:coreProperties>
</file>